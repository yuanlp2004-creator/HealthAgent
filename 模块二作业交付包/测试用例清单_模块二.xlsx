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1628e68cc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4ceb623bee4843f1"/>
    <x:sheet xmlns:r="http://schemas.openxmlformats.org/officeDocument/2006/relationships" name="Test Cases测试用例" sheetId="2" r:id="R7230379c57564c2c"/>
    <x:sheet xmlns:r="http://schemas.openxmlformats.org/officeDocument/2006/relationships" name="Introduction使用说明" sheetId="3" r:id="R6813f60d56c74468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<x:sst xmlns:x="http://schemas.openxmlformats.org/spreadsheetml/2006/main">
  <x:si>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rPr>
        <x:sz val="1200"/>
        <x:color rgb="FF000000"/>
      </x:rPr>
      <x:t xml:space="preserve">General Information </x:t>
    </x:r>
    <x:r>
      <x:rPr>
        <x:sz val="1200"/>
        <x:color rgb="FF000000"/>
        <x:rFont val="宋体"/>
        <x:family val="3"/>
      </x:rPr>
      <x:t xml:space="preserve">基本信息</x:t>
    </x:r>
  </x:si>
  <x:si>
    <x:r>
      <x:rPr>
        <x:sz val="1200"/>
        <x:color rgb="FF000000"/>
      </x:rPr>
      <x:t xml:space="preserve">Product Verion </x:t>
    </x:r>
    <x:r>
      <x:rPr>
        <x:sz val="1200"/>
        <x:color rgb="FF000000"/>
        <x:rFont val="宋体"/>
        <x:family val="3"/>
      </x:rPr>
      <x:t xml:space="preserve">产品版本</x:t>
    </x:r>
  </x:si>
  <x:si>
    <x:r>
      <x:rPr>
        <x:sz val="1200"/>
        <x:color rgb="FF000000"/>
      </x:rPr>
      <x:t xml:space="preserve">Confidentiality level </x:t>
    </x:r>
    <x:r>
      <x:rPr>
        <x:sz val="1200"/>
        <x:color rgb="FF000000"/>
        <x:rFont val="宋体"/>
        <x:family val="3"/>
      </x:rPr>
      <x:t xml:space="preserve">密级</x:t>
    </x:r>
  </x:si>
  <x:si>
    <x:r>
      <x:rPr>
        <x:sz val="1200"/>
        <x:color rgb="FF000000"/>
      </x:rPr>
      <x:t xml:space="preserve">Project Name </x:t>
    </x:r>
    <x:r>
      <x:rPr>
        <x:sz val="1200"/>
        <x:color rgb="FF000000"/>
        <x:rFont val="宋体"/>
        <x:family val="3"/>
      </x:rPr>
      <x:t xml:space="preserve">项目名称</x:t>
    </x:r>
  </x:si>
  <x:si>
    <x:r>
      <x:rPr>
        <x:sz val="1200"/>
        <x:color rgb="FF000000"/>
      </x:rPr>
      <x:t xml:space="preserve">Project ID </x:t>
    </x:r>
    <x:r>
      <x:rPr>
        <x:sz val="1200"/>
        <x:color rgb="FF000000"/>
        <x:rFont val="宋体"/>
        <x:family val="3"/>
      </x:rPr>
      <x:t xml:space="preserve">项目</x:t>
    </x:r>
    <x:r>
      <x:rPr>
        <x:sz val="1200"/>
        <x:color rgb="FF000000"/>
        <x:rFont val="Times New Roman"/>
        <x:family val="1"/>
      </x:rPr>
      <x:t xml:space="preserve">ID</x:t>
    </x:r>
  </x:si>
  <x:si>
    <x:r>
      <x:rPr>
        <x:sz val="1200"/>
        <x:color rgb="FF000000"/>
      </x:rPr>
      <x:t xml:space="preserve">Prepared by </x:t>
    </x:r>
    <x:r>
      <x:rPr>
        <x:sz val="1200"/>
        <x:color rgb="FF000000"/>
        <x:rFont val="宋体"/>
        <x:family val="3"/>
      </x:rPr>
      <x:t xml:space="preserve">拟制</x:t>
    </x:r>
  </x:si>
  <x:si>
    <x:r>
      <x:rPr>
        <x:sz val="1200"/>
        <x:color rgb="FF000000"/>
      </x:rPr>
      <x:t xml:space="preserve">Date </x:t>
    </x:r>
    <x:r>
      <x:rPr>
        <x:sz val="1200"/>
        <x:color rgb="FF000000"/>
        <x:rFont val="宋体"/>
        <x:family val="3"/>
      </x:rPr>
      <x:t xml:space="preserve">日期</x:t>
    </x:r>
  </x:si>
  <x:si>
    <x:r>
      <x:rPr>
        <x:sz val="1200"/>
        <x:color rgb="FF000000"/>
      </x:rPr>
      <x:t xml:space="preserve">Reviewed by </x:t>
    </x:r>
    <x:r>
      <x:rPr>
        <x:sz val="1200"/>
        <x:color rgb="FF000000"/>
        <x:rFont val="宋体"/>
        <x:family val="3"/>
      </x:rPr>
      <x:t xml:space="preserve">评审人</x:t>
    </x:r>
  </x:si>
  <x:si>
    <x:r>
      <x:rPr>
        <x:sz val="1200"/>
        <x:color rgb="FF000000"/>
      </x:rPr>
      <x:t xml:space="preserve">Approved by </x:t>
    </x:r>
    <x:r>
      <x:rPr>
        <x:sz val="1200"/>
        <x:color rgb="FF000000"/>
        <x:rFont val="宋体"/>
        <x:family val="3"/>
      </x:rPr>
      <x:t xml:space="preserve">批准</x:t>
    </x:r>
  </x:si>
  <x:si>
    <x:r>
      <x:rPr>
        <x:sz val="1200"/>
        <x:color rgb="FF000000"/>
      </x:rPr>
      <x:t xml:space="preserve">Number of Test cases </x:t>
    </x:r>
    <x:r>
      <x:rPr>
        <x:sz val="1200"/>
        <x:color rgb="FF000000"/>
        <x:rFont val="宋体"/>
        <x:family val="3"/>
      </x:rPr>
      <x:t xml:space="preserve">测试用例数</x:t>
    </x:r>
  </x:si>
  <x:si>
    <x:r>
      <x:rPr>
        <x:sz val="1200"/>
        <x:color rgb="FF000000"/>
      </x:rPr>
      <x:t xml:space="preserve">Introduction </x:t>
    </x:r>
    <x:r>
      <x:rPr>
        <x:sz val="1200"/>
        <x:color rgb="FF000000"/>
        <x:rFont val="宋体"/>
        <x:family val="3"/>
      </x:rPr>
      <x:t xml:space="preserve">概述</x:t>
    </x:r>
  </x:si>
  <x:si>
    <x:r>
      <x:t xml:space="preserve">Revision Record </x:t>
    </x:r>
    <x:r>
      <x:rPr>
        <x:sz val="12"/>
        <x:rFont val="宋体"/>
        <x:family val="3"/>
      </x:rPr>
      <x:t xml:space="preserve">修订记录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</x:si>
  <x:si>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  <x:r>
      <x:rPr>
        <x:sz val="12"/>
        <x:rFont val="Times New Roman"/>
        <x:family val="1"/>
      </x:rPr>
      <x:t xml:space="preserve"> </x:t>
    </x:r>
  </x:si>
  <x:si>
    <x:r>
      <x:t xml:space="preserve">Revision Version </x:t>
    </x:r>
    <x:r>
      <x:rPr>
        <x:sz val="12"/>
        <x:rFont val="宋体"/>
        <x:family val="3"/>
      </x:rPr>
      <x:t xml:space="preserve">修订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版本</x:t>
    </x:r>
  </x:si>
  <x:si>
    <x:r>
      <x:t xml:space="preserve">CR ID / Defect ID CR</x:t>
    </x:r>
    <x:r>
      <x:rPr>
        <x:sz val="12"/>
        <x:rFont val="宋体"/>
        <x:family val="3"/>
      </x:rPr>
      <x:t xml:space="preserve">号</x:t>
    </x:r>
  </x:si>
  <x:si>
    <x:r>
      <x:t xml:space="preserve">Change Description </x:t>
    </x:r>
    <x:r>
      <x:rPr>
        <x:sz val="12"/>
        <x:rFont val="宋体"/>
        <x:family val="3"/>
      </x:rPr>
      <x:t xml:space="preserve">修改描述</x:t>
    </x:r>
  </x:si>
  <x:si>
    <x:r>
      <x:t xml:space="preserve">Author </x:t>
    </x:r>
    <x:r>
      <x:rPr>
        <x:sz val="12"/>
        <x:rFont val="宋体"/>
        <x:family val="3"/>
      </x:rPr>
      <x:t xml:space="preserve">作者</x:t>
    </x:r>
  </x:si>
  <x:si>
    <x:r>
      <x:t xml:space="preserve">Distribution LIST </x:t>
    </x:r>
    <x:r>
      <x:rPr>
        <x:sz val="12"/>
        <x:rFont val="宋体"/>
        <x:family val="3"/>
      </x:rPr>
      <x:t xml:space="preserve">分发记录</x:t>
    </x:r>
  </x:si>
  <x:si>
    <x:t xml:space="preserve">Copy No.</x:t>
  </x:si>
  <x:si>
    <x:r>
      <x:t xml:space="preserve">Holder's Name &amp; Role  </x:t>
    </x:r>
    <x:r>
      <x:rPr>
        <x:sz val="12"/>
        <x:rFont val="宋体"/>
        <x:family val="3"/>
      </x:rPr>
      <x:t xml:space="preserve">持有者和角色</x:t>
    </x:r>
  </x:si>
  <x:si>
    <x:r>
      <x:t xml:space="preserve">Issue Date  </x:t>
    </x:r>
    <x:r>
      <x:rPr>
        <x:sz val="12"/>
        <x:rFont val="宋体"/>
        <x:family val="3"/>
      </x:rPr>
      <x:t xml:space="preserve">分发日期</x:t>
    </x:r>
  </x:si>
  <x:si>
    <x:t xml:space="preserve">测试结果分析</x:t>
  </x:si>
  <x:si>
    <x:r>
      <x:t xml:space="preserve">OK</x:t>
    </x:r>
    <x:r>
      <x:rPr>
        <x:sz val="12"/>
        <x:rFont val="宋体"/>
        <x:family val="3"/>
      </x:rPr>
      <x:t xml:space="preserve">项</x:t>
    </x:r>
  </x:si>
  <x:si>
    <x:r>
      <x:t xml:space="preserve">OK</x:t>
    </x:r>
    <x:r>
      <x:rPr>
        <x:sz val="12"/>
        <x:rFont val="宋体"/>
        <x:family val="3"/>
      </x:rPr>
      <x:t xml:space="preserve">率</x:t>
    </x:r>
  </x:si>
  <x:si>
    <x:r>
      <x:t xml:space="preserve">POK</x:t>
    </x:r>
    <x:r>
      <x:rPr>
        <x:sz val="12"/>
        <x:rFont val="宋体"/>
        <x:family val="3"/>
      </x:rPr>
      <x:t xml:space="preserve">项</x:t>
    </x:r>
  </x:si>
  <x:si>
    <x:r>
      <x:t xml:space="preserve">POK</x:t>
    </x:r>
    <x:r>
      <x:rPr>
        <x:sz val="12"/>
        <x:rFont val="宋体"/>
        <x:family val="3"/>
      </x:rPr>
      <x:t xml:space="preserve">率</x:t>
    </x:r>
  </x:si>
  <x:si>
    <x:r>
      <x:t xml:space="preserve">NG</x:t>
    </x:r>
    <x:r>
      <x:rPr>
        <x:sz val="12"/>
        <x:rFont val="宋体"/>
        <x:family val="3"/>
      </x:rPr>
      <x:t xml:space="preserve">项</x:t>
    </x:r>
  </x:si>
  <x:si>
    <x:r>
      <x:t xml:space="preserve">NG</x:t>
    </x:r>
    <x:r>
      <x:rPr>
        <x:sz val="12"/>
        <x:rFont val="宋体"/>
        <x:family val="3"/>
      </x:rPr>
      <x:t xml:space="preserve">率</x:t>
    </x:r>
  </x:si>
  <x:si>
    <x:r>
      <x:t xml:space="preserve">NT</x:t>
    </x:r>
    <x:r>
      <x:rPr>
        <x:sz val="12"/>
        <x:rFont val="宋体"/>
        <x:family val="3"/>
      </x:rPr>
      <x:t xml:space="preserve">项</x:t>
    </x:r>
  </x:si>
  <x:si>
    <x:r>
      <x:t xml:space="preserve">NT</x:t>
    </x:r>
    <x:r>
      <x:rPr>
        <x:sz val="12"/>
        <x:rFont val="宋体"/>
        <x:family val="3"/>
      </x:rPr>
      <x:t xml:space="preserve">率</x:t>
    </x:r>
  </x:si>
  <x:si>
    <x:t xml:space="preserve">用例总个数</x:t>
  </x:si>
  <x:si>
    <x:r>
      <x:t xml:space="preserve">Test Case ID </x:t>
    </x:r>
    <x:r>
      <x:rPr>
        <x:b/>
        <x:sz val="12"/>
        <x:rFont val="宋体"/>
        <x:family val="3"/>
      </x:rPr>
      <x:t xml:space="preserve">测试用例编号</x:t>
    </x:r>
  </x:si>
  <x:si>
    <x:r>
      <x:t xml:space="preserve">Test Item </x:t>
    </x:r>
    <x:r>
      <x:rPr>
        <x:b/>
        <x:sz val="12"/>
        <x:rFont val="宋体"/>
        <x:family val="3"/>
      </x:rPr>
      <x:t xml:space="preserve">测试项（即功能模块或函数）</x:t>
    </x:r>
  </x:si>
  <x:si>
    <x:r>
      <x:t xml:space="preserve">Test Case Title </x:t>
    </x:r>
    <x:r>
      <x:rPr>
        <x:b/>
        <x:sz val="12"/>
        <x:rFont val="宋体"/>
        <x:family val="3"/>
      </x:rPr>
      <x:t xml:space="preserve">测试用例标题</x:t>
    </x:r>
  </x:si>
  <x:si>
    <x:r>
      <x:t xml:space="preserve">Test Criticality</x:t>
    </x:r>
    <x:r>
      <x:rPr>
        <x:b/>
        <x:sz val="12"/>
        <x:rFont val="宋体"/>
        <x:family val="3"/>
      </x:rPr>
      <x:t xml:space="preserve">重要级别</x:t>
    </x:r>
  </x:si>
  <x:si>
    <x:t xml:space="preserve">是否自动用例</x:t>
  </x:si>
  <x:si>
    <x:t xml:space="preserve">是否新增修改用例</x:t>
  </x:si>
  <x:si>
    <x:r>
      <x:t xml:space="preserve">Pre-condition </x:t>
    </x:r>
    <x:r>
      <x:rPr>
        <x:b/>
        <x:sz val="12"/>
        <x:rFont val="宋体"/>
        <x:family val="3"/>
      </x:rPr>
      <x:t xml:space="preserve">预置条件</x:t>
    </x:r>
  </x:si>
  <x:si>
    <x:r>
      <x:t xml:space="preserve">Input </x:t>
    </x:r>
    <x:r>
      <x:rPr>
        <x:b/>
        <x:sz val="12"/>
        <x:rFont val="宋体"/>
        <x:family val="3"/>
      </x:rPr>
      <x:t xml:space="preserve">输入</x:t>
    </x:r>
  </x:si>
  <x:si>
    <x:r>
      <x:t xml:space="preserve">Procedure </x:t>
    </x:r>
    <x:r>
      <x:rPr>
        <x:b/>
        <x:sz val="12"/>
        <x:rFont val="宋体"/>
        <x:family val="3"/>
      </x:rPr>
      <x:t xml:space="preserve">操作步骤</x:t>
    </x:r>
  </x:si>
  <x:si>
    <x:r>
      <x:t xml:space="preserve">Output </x:t>
    </x:r>
    <x:r>
      <x:rPr>
        <x:b/>
        <x:sz val="12"/>
        <x:rFont val="宋体"/>
        <x:family val="3"/>
      </x:rPr>
      <x:t xml:space="preserve">预期结果</x:t>
    </x:r>
  </x:si>
  <x:si>
    <x:r>
      <x:t xml:space="preserve">Result
</x:t>
    </x:r>
    <x:r>
      <x:rPr>
        <x:b/>
        <x:sz val="12"/>
        <x:rFont val="宋体"/>
        <x:family val="3"/>
      </x:rPr>
      <x:t xml:space="preserve">实际结果</x:t>
    </x:r>
  </x:si>
  <x:si>
    <x:r>
      <x:t xml:space="preserve">Status
</x:t>
    </x:r>
    <x:r>
      <x:rPr>
        <x:b/>
        <x:sz val="12"/>
        <x:rFont val="宋体"/>
        <x:family val="3"/>
      </x:rPr>
      <x:t xml:space="preserve">是否通过</x:t>
    </x:r>
  </x:si>
  <x:si>
    <x:r>
      <x:t xml:space="preserve">Remark </x:t>
    </x:r>
    <x:r>
      <x:rPr>
        <x:b/>
        <x:sz val="12"/>
        <x:rFont val="宋体"/>
        <x:family val="3"/>
      </x:rPr>
      <x:t xml:space="preserve">备注</x:t>
    </x:r>
    <x:r>
      <x:rPr>
        <x:b/>
        <x:sz val="12"/>
        <x:color indexed="10"/>
        <x:rFont val="宋体"/>
        <x:family val="3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</x:si>
  <x:si>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</x:si>
  <x:si>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</x:si>
  <x:si>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</x:si>
  <x:si>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</x:si>
  <x:si>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t xml:space="preserve">Introduction </x:t>
    </x:r>
    <x:r>
      <x:rPr>
        <x:b/>
        <x:sz val="12"/>
        <x:rFont val="宋体"/>
        <x:family val="3"/>
      </x:rPr>
      <x:t xml:space="preserve">使用说明</x:t>
    </x:r>
  </x:si>
  <x:si>
    <x:r>
      <x:t xml:space="preserve">There are two sheets in the Test Case Form. One is "Information", the other is "Test Cases" sheet. </x:t>
    </x:r>
    <x:r>
      <x:rPr>
        <x:sz val="11"/>
        <x:rFont val="宋体"/>
        <x:family val="3"/>
      </x:rPr>
      <x:t xml:space="preserve">测试用例表包含两个表单：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基本信息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表单。</x:t>
    </x:r>
  </x:si>
  <x:si>
    <x:r>
      <x:t xml:space="preserve">The test cases can be multilevel. </x:t>
    </x:r>
    <x:r>
      <x:rPr>
        <x:sz val="11"/>
        <x:rFont val="宋体"/>
        <x:family val="3"/>
      </x:rPr>
      <x:t xml:space="preserve">本测试用例模板支持分层。</x:t>
    </x:r>
  </x:si>
  <x:si>
    <x:r>
      <x:t xml:space="preserve">If project need multilevel, they can add column beside "test item" and "test case" column at "Test Cases" sheet. </x:t>
    </x:r>
    <x:r>
      <x:rPr>
        <x:sz val="11"/>
        <x:rFont val="宋体"/>
        <x:family val="3"/>
      </x:rPr>
      <x:t xml:space="preserve">项目组如果需要多级分层，可在</x:t>
    </x:r>
    <x:r>
      <x:rPr>
        <x:sz val="11"/>
        <x:rFont val="Times New Roman"/>
        <x:family val="1"/>
      </x:rPr>
      <x:t xml:space="preserve">“Test cases”</x:t>
    </x:r>
    <x:r>
      <x:rPr>
        <x:sz val="11"/>
        <x:rFont val="宋体"/>
        <x:family val="3"/>
      </x:rPr>
      <x:t xml:space="preserve">页面中的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之间增加列。例如增加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测试子项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。</x:t>
    </x:r>
  </x:si>
  <x:si>
    <x:r>
      <x:t xml:space="preserve">The number of test cases is low level test cases' number, it is automatic calculate. </x:t>
    </x:r>
    <x:r>
      <x:rPr>
        <x:sz val="11"/>
        <x:rFont val="宋体"/>
        <x:family val="3"/>
      </x:rPr>
      <x:t xml:space="preserve">测试用例的统计使用小测试用例统计，自动统计。</x:t>
    </x:r>
  </x:si>
  <x:si>
    <x:r>
      <x:t xml:space="preserve">The Test Case Form should not use as test record. </x:t>
    </x:r>
    <x:r>
      <x:rPr>
        <x:sz val="11"/>
        <x:rFont val="宋体"/>
        <x:family val="3"/>
      </x:rPr>
      <x:t xml:space="preserve">本测试用例表单不能作为测试记录使用。</x:t>
    </x:r>
  </x:si>
  <x:si>
    <x:r>
      <x:t xml:space="preserve">Test cases ID shall follow the ID rules defined in Test strategy. For example,"Project ID-UT(IT,ST)-nnn". </x:t>
    </x:r>
    <x:r>
      <x:rPr>
        <x:sz val="11"/>
        <x:rFont val="宋体"/>
        <x:family val="3"/>
      </x:rPr>
      <x:t xml:space="preserve">测试用例的编号应符合测试策略中对编号规则的要求。例如，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项目编码</x:t>
    </x:r>
    <x:r>
      <x:rPr>
        <x:sz val="11"/>
        <x:rFont val="Times New Roman"/>
        <x:family val="1"/>
      </x:rPr>
      <x:t xml:space="preserve"> -UT</x:t>
    </x:r>
    <x:r>
      <x:rPr>
        <x:sz val="11"/>
        <x:rFont val="宋体"/>
        <x:family val="3"/>
      </x:rPr>
      <x:t xml:space="preserve">（或</x:t>
    </x:r>
    <x:r>
      <x:rPr>
        <x:sz val="11"/>
        <x:rFont val="Times New Roman"/>
        <x:family val="1"/>
      </x:rPr>
      <x:t xml:space="preserve">IT</x:t>
    </x:r>
    <x:r>
      <x:rPr>
        <x:sz val="11"/>
        <x:rFont val="宋体"/>
        <x:family val="3"/>
      </x:rPr>
      <x:t xml:space="preserve">，</x:t>
    </x:r>
    <x:r>
      <x:rPr>
        <x:sz val="11"/>
        <x:rFont val="Times New Roman"/>
        <x:family val="1"/>
      </x:rPr>
      <x:t xml:space="preserve">ST</x:t>
    </x:r>
    <x:r>
      <x:rPr>
        <x:sz val="11"/>
        <x:rFont val="宋体"/>
        <x:family val="3"/>
      </x:rPr>
      <x:t xml:space="preserve">）</x:t>
    </x:r>
    <x:r>
      <x:rPr>
        <x:sz val="11"/>
        <x:rFont val="Times New Roman"/>
        <x:family val="1"/>
      </x:rPr>
      <x:t xml:space="preserve">-nnn”</x:t>
    </x:r>
    <x:r>
      <x:rPr>
        <x:sz val="11"/>
        <x:rFont val="宋体"/>
        <x:family val="3"/>
      </x:rPr>
      <x:t xml:space="preserve">。</x:t>
    </x:r>
  </x:si>
  <x:si>
    <x:r>
      <x:t xml:space="preserve">Test Criticality</x:t>
    </x:r>
    <x:r>
      <x:rPr>
        <x:sz val="11"/>
        <x:rFont val="宋体"/>
        <x:family val="3"/>
      </x:rPr>
      <x:t xml:space="preserve">重要级别定义为：</x:t>
    </x:r>
    <x:r>
      <x:rPr>
        <x:sz val="11"/>
        <x:rFont val="Times New Roman"/>
        <x:family val="1"/>
      </x:rPr>
      <x:t xml:space="preserve">Specify High/Medium/Low.</x:t>
    </x:r>
    <x:r>
      <x:rPr>
        <x:sz val="11"/>
        <x:rFont val="宋体"/>
        <x:family val="3"/>
      </x:rPr>
      <x:t xml:space="preserve">描述测试用例的重要级别：高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中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低</x:t>
    </x:r>
    <x:r>
      <x:rPr>
        <x:sz val="11"/>
        <x:rFont val="Times New Roman"/>
        <x:family val="1"/>
      </x:rPr>
      <x:t xml:space="preserve">.</x:t>
    </x:r>
  </x:si>
  <x:si>
    <x:r>
      <x:t xml:space="preserve">Output </x:t>
    </x:r>
    <x:r>
      <x:rPr>
        <x:sz val="11"/>
        <x:rFont val="宋体"/>
        <x:family val="3"/>
      </x:rPr>
      <x:t xml:space="preserve">预期输出：</x:t>
    </x:r>
    <x:r>
      <x:rPr>
        <x:sz val="11"/>
        <x:rFont val="Times New Roman"/>
        <x:family val="1"/>
      </x:rPr>
      <x:t xml:space="preserve">Provide the expected result after performing the test</x:t>
    </x:r>
    <x:r>
      <x:rPr>
        <x:sz val="11"/>
        <x:rFont val="宋体"/>
        <x:family val="3"/>
      </x:rPr>
      <x:t xml:space="preserve">提供测试执行的预期结果</x:t>
    </x:r>
  </x:si>
  <x:si>
    <x:r>
      <x:t xml:space="preserve">R</x:t>
    </x:r>
    <x:r>
      <x:rPr>
        <x:sz val="12"/>
        <x:rFont val="Times New Roman"/>
        <x:family val="1"/>
      </x:rPr>
      <x:t xml:space="preserve">esult </x:t>
    </x:r>
    <x:r>
      <x:rPr>
        <x:sz val="12"/>
        <x:rFont val="宋体"/>
        <x:family val="3"/>
      </x:rPr>
      <x:t xml:space="preserve">实际输出</x:t>
    </x:r>
    <x:r>
      <x:rPr>
        <x:sz val="12"/>
        <x:rFont val="Times New Roman"/>
        <x:family val="1"/>
      </x:rPr>
      <x:t xml:space="preserve">:Provide the result after performing the test</x:t>
    </x:r>
    <x:r>
      <x:rPr>
        <x:sz val="12"/>
        <x:rFont val="宋体"/>
        <x:family val="3"/>
      </x:rPr>
      <x:t xml:space="preserve">提供测试结果
</x:t>
    </x:r>
    <x:r>
      <x:rPr>
        <x:sz val="12"/>
        <x:rFont val="Times New Roman"/>
        <x:family val="1"/>
      </x:rPr>
      <x:t xml:space="preserve">OK:</x:t>
    </x:r>
    <x:r>
      <x:rPr>
        <x:sz val="12"/>
        <x:rFont val="宋体"/>
        <x:family val="3"/>
      </x:rPr>
      <x:t xml:space="preserve">测试通过
</x:t>
    </x:r>
    <x:r>
      <x:rPr>
        <x:sz val="12"/>
        <x:rFont val="Times New Roman"/>
        <x:family val="1"/>
      </x:rPr>
      <x:t xml:space="preserve">POK:</x:t>
    </x:r>
    <x:r>
      <x:rPr>
        <x:sz val="12"/>
        <x:rFont val="宋体"/>
        <x:family val="3"/>
      </x:rPr>
      <x:t xml:space="preserve">部分通过
</x:t>
    </x:r>
    <x:r>
      <x:rPr>
        <x:sz val="12"/>
        <x:rFont val="Times New Roman"/>
        <x:family val="1"/>
      </x:rPr>
      <x:t xml:space="preserve">NG:</x:t>
    </x:r>
    <x:r>
      <x:rPr>
        <x:sz val="12"/>
        <x:rFont val="宋体"/>
        <x:family val="3"/>
      </x:rPr>
      <x:t xml:space="preserve">不能通过
</x:t>
    </x:r>
    <x:r>
      <x:rPr>
        <x:sz val="12"/>
        <x:rFont val="Times New Roman"/>
        <x:family val="1"/>
      </x:rPr>
      <x:t xml:space="preserve">NT:</x:t>
    </x:r>
    <x:r>
      <x:rPr>
        <x:sz val="12"/>
        <x:rFont val="宋体"/>
        <x:family val="3"/>
      </x:rPr>
      <x:t xml:space="preserve">测试用例错误</x:t>
    </x:r>
    <x:r>
      <x:rPr>
        <x:sz val="12"/>
        <x:rFont val="Times New Roman"/>
        <x:family val="1"/>
      </x:rPr>
      <x:t xml:space="preserve">,</x:t>
    </x:r>
    <x:r>
      <x:rPr>
        <x:sz val="12"/>
        <x:rFont val="宋体"/>
        <x:family val="3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</x:si>
</x:sst>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5">
    <x:numFmt numFmtId="176" formatCode="yy\.mm\.dd"/>
    <x:numFmt numFmtId="177" formatCode="yyyy\.mm\.dd"/>
    <x:numFmt numFmtId="200" formatCode="yyyy-mm-dd"/>
    <x:numFmt numFmtId="201" formatCode="0%"/>
    <x:numFmt numFmtId="202" formatCode="yy-mm-dd"/>
  </x:numFmts>
  <x:fonts count="21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  <x:font>
      <x:b/>
      <x:sz val="10"/>
      <x:name val="Microsoft YaHei"/>
    </x:font>
    <x:font>
      <x:sz val="10"/>
      <x:name val="Microsoft YaHei"/>
    </x:font>
    <x:font>
      <x:i/>
      <x:sz val="10"/>
      <x:color indexed="10"/>
      <x:name val="Microsoft YaHei"/>
    </x:font>
    <x:font>
      <x:sz val="10"/>
      <x:color indexed="9"/>
      <x:name val="Microsoft YaHei"/>
    </x:font>
    <x:font>
      <x:b/>
      <x:sz val="16"/>
      <x:name val="Microsoft YaHei"/>
    </x:font>
    <x:font>
      <x:sz val="10"/>
      <x:color rgb="FF222222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</x:fills>
  <x:borders count="18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200" fontId="7" fillId="3" borderId="3" xfId="0" applyNumberFormat="1" applyFont="1" applyFill="1" applyBorder="1"/>
    <x:xf numFmtId="201" fontId="7" fillId="5" borderId="8" xfId="0" applyNumberFormat="1" applyFont="1" applyFill="1" applyBorder="1"/>
    <x:xf numFmtId="201" fontId="7" fillId="5" borderId="9" xfId="0" applyNumberFormat="1" applyFont="1" applyFill="1" applyBorder="1"/>
    <x:xf numFmtId="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6" fillId="4" borderId="3" xfId="0" applyNumberFormat="1" applyFont="1" applyFill="1" applyBorder="1"/>
    <x:xf numFmtId="0" fontId="16" fillId="0" borderId="1" xfId="0" applyNumberFormat="1" applyFont="1" applyFill="1" applyBorder="1"/>
    <x:xf numFmtId="0" fontId="16" fillId="3" borderId="3" xfId="0" applyNumberFormat="1" applyFont="1" applyFill="1" applyBorder="1"/>
    <x:xf numFmtId="200" fontId="16" fillId="3" borderId="3" xfId="0" applyNumberFormat="1" applyFont="1" applyFill="1" applyBorder="1"/>
    <x:xf numFmtId="0" fontId="16" fillId="0" borderId="4" xfId="0" applyNumberFormat="1" applyFont="1" applyFill="1" applyBorder="1"/>
    <x:xf numFmtId="0" fontId="16" fillId="5" borderId="3" xfId="0" applyNumberFormat="1" applyFont="1" applyFill="1" applyBorder="1" applyAlignment="1">
      <x:alignment horizontal="center"/>
    </x:xf>
    <x:xf numFmtId="0" fontId="17" fillId="3" borderId="3" xfId="0" applyNumberFormat="1" applyFont="1" applyFill="1" applyBorder="1"/>
    <x:xf numFmtId="0" fontId="16" fillId="4" borderId="3" xfId="0" applyNumberFormat="1" applyFont="1" applyFill="1" applyBorder="1" applyAlignment="1">
      <x:alignment horizontal="center" wrapText="1"/>
    </x:xf>
    <x:xf numFmtId="0" fontId="16" fillId="4" borderId="3" xfId="0" applyNumberFormat="1" applyFont="1" applyFill="1" applyBorder="1" applyAlignment="1">
      <x:alignment wrapText="1"/>
    </x:xf>
    <x:xf numFmtId="49" fontId="16" fillId="3" borderId="3" xfId="0" applyNumberFormat="1" applyFont="1" applyFill="1" applyBorder="1"/>
    <x:xf numFmtId="177" fontId="16" fillId="3" borderId="3" xfId="0" applyNumberFormat="1" applyFont="1" applyFill="1" applyBorder="1"/>
    <x:xf numFmtId="176" fontId="16" fillId="3" borderId="3" xfId="0" applyNumberFormat="1" applyFont="1" applyFill="1" applyBorder="1"/>
    <x:xf numFmtId="0" fontId="16" fillId="4" borderId="3" xfId="0" applyNumberFormat="1" applyFont="1" applyFill="1" applyBorder="1" applyAlignment="1">
      <x:alignment horizontal="center"/>
    </x:xf>
    <x:xf numFmtId="0" fontId="16" fillId="3" borderId="5" xfId="0" applyNumberFormat="1" applyFont="1" applyFill="1" applyBorder="1"/>
    <x:xf numFmtId="0" fontId="16" fillId="3" borderId="6" xfId="0" applyNumberFormat="1" applyFont="1" applyFill="1" applyBorder="1"/>
    <x:xf numFmtId="177" fontId="16" fillId="3" borderId="6" xfId="0" applyNumberFormat="1" applyFont="1" applyFill="1" applyBorder="1"/>
    <x:xf numFmtId="177" fontId="16" fillId="3" borderId="7" xfId="0" applyNumberFormat="1" applyFont="1" applyFill="1" applyBorder="1"/>
    <x:xf numFmtId="0" fontId="16" fillId="6" borderId="0" xfId="0" applyNumberFormat="1" applyFont="1" applyFill="1" applyBorder="1"/>
    <x:xf numFmtId="177" fontId="16" fillId="6" borderId="0" xfId="0" applyNumberFormat="1" applyFont="1" applyFill="1" applyBorder="1"/>
    <x:xf numFmtId="0" fontId="16" fillId="2" borderId="5" xfId="0" applyNumberFormat="1" applyFont="1" applyFill="1" applyBorder="1" applyAlignment="1">
      <x:alignment horizontal="center"/>
    </x:xf>
    <x:xf numFmtId="0" fontId="16" fillId="2" borderId="10" xfId="0" applyNumberFormat="1" applyFont="1" applyFill="1" applyBorder="1" applyAlignment="1">
      <x:alignment horizontal="center"/>
    </x:xf>
    <x:xf numFmtId="0" fontId="16" fillId="2" borderId="11" xfId="0" applyNumberFormat="1" applyFont="1" applyFill="1" applyBorder="1" applyAlignment="1">
      <x:alignment horizontal="center"/>
    </x:xf>
    <x:xf numFmtId="0" fontId="16" fillId="2" borderId="8" xfId="0" applyNumberFormat="1" applyFont="1" applyFill="1" applyBorder="1" applyAlignment="1">
      <x:alignment horizontal="center"/>
    </x:xf>
    <x:xf numFmtId="0" fontId="16" fillId="5" borderId="8" xfId="0" applyNumberFormat="1" applyFont="1" applyFill="1" applyBorder="1"/>
    <x:xf numFmtId="201" fontId="16" fillId="5" borderId="8" xfId="0" applyNumberFormat="1" applyFont="1" applyFill="1" applyBorder="1"/>
    <x:xf numFmtId="0" fontId="16" fillId="2" borderId="9" xfId="0" applyNumberFormat="1" applyFont="1" applyFill="1" applyBorder="1" applyAlignment="1">
      <x:alignment horizontal="center"/>
    </x:xf>
    <x:xf numFmtId="0" fontId="16" fillId="5" borderId="9" xfId="0" applyNumberFormat="1" applyFont="1" applyFill="1" applyBorder="1"/>
    <x:xf numFmtId="201" fontId="16" fillId="5" borderId="9" xfId="0" applyNumberFormat="1" applyFont="1" applyFill="1" applyBorder="1"/>
    <x:xf numFmtId="0" fontId="18" fillId="6" borderId="5" xfId="0" applyNumberFormat="1" applyFont="1" applyFill="1" applyBorder="1" applyAlignment="1">
      <x:alignment horizontal="center"/>
    </x:xf>
    <x:xf numFmtId="0" fontId="18" fillId="6" borderId="10" xfId="0" applyNumberFormat="1" applyFont="1" applyFill="1" applyBorder="1"/>
    <x:xf numFmtId="0" fontId="18" fillId="6" borderId="10" xfId="0" applyNumberFormat="1" applyFont="1" applyFill="1" applyBorder="1" applyAlignment="1">
      <x:alignment horizontal="center"/>
    </x:xf>
    <x:xf numFmtId="10" fontId="18" fillId="6" borderId="11" xfId="0" applyNumberFormat="1" applyFont="1" applyFill="1" applyBorder="1"/>
    <x:xf numFmtId="0" fontId="16" fillId="2" borderId="2" xfId="0" applyNumberFormat="1" applyFont="1" applyFill="1" applyBorder="1"/>
    <x:xf numFmtId="0" fontId="16" fillId="5" borderId="14" xfId="0" applyNumberFormat="1" applyFont="1" applyFill="1" applyBorder="1" applyAlignment="1">
      <x:alignment horizontal="center"/>
    </x:xf>
    <x:xf numFmtId="0" fontId="16" fillId="5" borderId="15" xfId="0" applyNumberFormat="1" applyFont="1" applyFill="1" applyBorder="1" applyAlignment="1">
      <x:alignment horizontal="center"/>
    </x:xf>
    <x:xf numFmtId="0" fontId="16" fillId="5" borderId="16" xfId="0" applyNumberFormat="1" applyFont="1" applyFill="1" applyBorder="1" applyAlignment="1">
      <x:alignment horizontal="center"/>
    </x:xf>
    <x:xf numFmtId="0" fontId="19" fillId="0" borderId="0" xfId="0" applyNumberFormat="1" applyFont="1" applyFill="1" applyBorder="1"/>
    <x:xf numFmtId="0" fontId="20" fillId="3" borderId="3" xfId="0" applyNumberFormat="1" applyFont="1" applyFill="1" applyBorder="1"/>
    <x:xf numFmtId="0" fontId="19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4" borderId="3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vertical="center"/>
    </x:xf>
    <x:xf numFmtId="0" fontId="16" fillId="3" borderId="3" xfId="0" applyNumberFormat="1" applyFont="1" applyFill="1" applyBorder="1" applyAlignment="1">
      <x:alignment vertical="center"/>
    </x:xf>
    <x:xf numFmtId="200" fontId="16" fillId="3" borderId="3" xfId="0" applyNumberFormat="1" applyFont="1" applyFill="1" applyBorder="1" applyAlignment="1">
      <x:alignment vertical="center"/>
    </x:xf>
    <x:xf numFmtId="0" fontId="16" fillId="0" borderId="4" xfId="0" applyNumberFormat="1" applyFont="1" applyFill="1" applyBorder="1" applyAlignment="1">
      <x:alignment vertical="center"/>
    </x:xf>
    <x:xf numFmtId="0" fontId="16" fillId="5" borderId="3" xfId="0" applyNumberFormat="1" applyFont="1" applyFill="1" applyBorder="1" applyAlignment="1">
      <x:alignment horizontal="center" vertical="center"/>
    </x:xf>
    <x:xf numFmtId="0" fontId="20" fillId="3" borderId="3" xfId="0" applyNumberFormat="1" applyFont="1" applyFill="1" applyBorder="1" applyAlignment="1">
      <x:alignment vertical="center"/>
    </x:xf>
    <x:xf numFmtId="0" fontId="17" fillId="3" borderId="3" xfId="0" applyNumberFormat="1" applyFont="1" applyFill="1" applyBorder="1" applyAlignment="1">
      <x:alignment vertical="center"/>
    </x:xf>
    <x:xf numFmtId="0" fontId="16" fillId="4" borderId="3" xfId="0" applyNumberFormat="1" applyFont="1" applyFill="1" applyBorder="1" applyAlignment="1">
      <x:alignment horizontal="center" vertical="center" wrapText="1"/>
    </x:xf>
    <x:xf numFmtId="0" fontId="16" fillId="4" borderId="3" xfId="0" applyNumberFormat="1" applyFont="1" applyFill="1" applyBorder="1" applyAlignment="1">
      <x:alignment vertical="center" wrapText="1"/>
    </x:xf>
    <x:xf numFmtId="49" fontId="16" fillId="3" borderId="3" xfId="0" applyNumberFormat="1" applyFont="1" applyFill="1" applyBorder="1" applyAlignment="1">
      <x:alignment vertical="center"/>
    </x:xf>
    <x:xf numFmtId="177" fontId="16" fillId="3" borderId="3" xfId="0" applyNumberFormat="1" applyFont="1" applyFill="1" applyBorder="1" applyAlignment="1">
      <x:alignment vertical="center"/>
    </x:xf>
    <x:xf numFmtId="176" fontId="16" fillId="3" borderId="3" xfId="0" applyNumberFormat="1" applyFont="1" applyFill="1" applyBorder="1" applyAlignment="1">
      <x:alignment vertical="center"/>
    </x:xf>
    <x:xf numFmtId="0" fontId="16" fillId="4" borderId="3" xfId="0" applyNumberFormat="1" applyFont="1" applyFill="1" applyBorder="1" applyAlignment="1">
      <x:alignment horizontal="center" vertical="center"/>
    </x:xf>
    <x:xf numFmtId="0" fontId="16" fillId="3" borderId="5" xfId="0" applyNumberFormat="1" applyFont="1" applyFill="1" applyBorder="1" applyAlignment="1">
      <x:alignment vertical="center"/>
    </x:xf>
    <x:xf numFmtId="0" fontId="16" fillId="3" borderId="6" xfId="0" applyNumberFormat="1" applyFont="1" applyFill="1" applyBorder="1" applyAlignment="1">
      <x:alignment vertical="center"/>
    </x:xf>
    <x:xf numFmtId="177" fontId="16" fillId="3" borderId="6" xfId="0" applyNumberFormat="1" applyFont="1" applyFill="1" applyBorder="1" applyAlignment="1">
      <x:alignment vertical="center"/>
    </x:xf>
    <x:xf numFmtId="177" fontId="16" fillId="3" borderId="7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vertical="center"/>
    </x:xf>
    <x:xf numFmtId="177" fontId="16" fillId="6" borderId="0" xfId="0" applyNumberFormat="1" applyFont="1" applyFill="1" applyBorder="1" applyAlignment="1">
      <x:alignment vertical="center"/>
    </x:xf>
    <x:xf numFmtId="0" fontId="16" fillId="2" borderId="5" xfId="0" applyNumberFormat="1" applyFont="1" applyFill="1" applyBorder="1" applyAlignment="1">
      <x:alignment horizontal="center" vertical="center"/>
    </x:xf>
    <x:xf numFmtId="0" fontId="16" fillId="2" borderId="10" xfId="0" applyNumberFormat="1" applyFont="1" applyFill="1" applyBorder="1" applyAlignment="1">
      <x:alignment horizontal="center" vertical="center"/>
    </x:xf>
    <x:xf numFmtId="0" fontId="16" fillId="2" borderId="11" xfId="0" applyNumberFormat="1" applyFont="1" applyFill="1" applyBorder="1" applyAlignment="1">
      <x:alignment horizontal="center" vertical="center"/>
    </x:xf>
    <x:xf numFmtId="0" fontId="16" fillId="2" borderId="8" xfId="0" applyNumberFormat="1" applyFont="1" applyFill="1" applyBorder="1" applyAlignment="1">
      <x:alignment horizontal="center" vertical="center"/>
    </x:xf>
    <x:xf numFmtId="0" fontId="16" fillId="5" borderId="8" xfId="0" applyNumberFormat="1" applyFont="1" applyFill="1" applyBorder="1" applyAlignment="1">
      <x:alignment vertical="center"/>
    </x:xf>
    <x:xf numFmtId="201" fontId="16" fillId="5" borderId="8" xfId="0" applyNumberFormat="1" applyFont="1" applyFill="1" applyBorder="1" applyAlignment="1">
      <x:alignment vertical="center"/>
    </x:xf>
    <x:xf numFmtId="0" fontId="16" fillId="2" borderId="9" xfId="0" applyNumberFormat="1" applyFont="1" applyFill="1" applyBorder="1" applyAlignment="1">
      <x:alignment horizontal="center" vertical="center"/>
    </x:xf>
    <x:xf numFmtId="0" fontId="16" fillId="5" borderId="9" xfId="0" applyNumberFormat="1" applyFont="1" applyFill="1" applyBorder="1" applyAlignment="1">
      <x:alignment vertical="center"/>
    </x:xf>
    <x:xf numFmtId="201" fontId="16" fillId="5" borderId="9" xfId="0" applyNumberFormat="1" applyFont="1" applyFill="1" applyBorder="1" applyAlignment="1">
      <x:alignment vertical="center"/>
    </x:xf>
    <x:xf numFmtId="0" fontId="18" fillId="6" borderId="5" xfId="0" applyNumberFormat="1" applyFont="1" applyFill="1" applyBorder="1" applyAlignment="1">
      <x:alignment horizontal="center" vertical="center"/>
    </x:xf>
    <x:xf numFmtId="0" fontId="18" fillId="6" borderId="10" xfId="0" applyNumberFormat="1" applyFont="1" applyFill="1" applyBorder="1" applyAlignment="1">
      <x:alignment vertical="center"/>
    </x:xf>
    <x:xf numFmtId="0" fontId="18" fillId="6" borderId="10" xfId="0" applyNumberFormat="1" applyFont="1" applyFill="1" applyBorder="1" applyAlignment="1">
      <x:alignment horizontal="center" vertical="center"/>
    </x:xf>
    <x:xf numFmtId="10" fontId="18" fillId="6" borderId="11" xfId="0" applyNumberFormat="1" applyFont="1" applyFill="1" applyBorder="1" applyAlignment="1">
      <x:alignment vertical="center"/>
    </x:xf>
    <x:xf numFmtId="0" fontId="16" fillId="2" borderId="2" xfId="0" applyNumberFormat="1" applyFont="1" applyFill="1" applyBorder="1" applyAlignment="1">
      <x:alignment vertical="center"/>
    </x:xf>
    <x:xf numFmtId="0" fontId="16" fillId="5" borderId="14" xfId="0" applyNumberFormat="1" applyFont="1" applyFill="1" applyBorder="1" applyAlignment="1">
      <x:alignment horizontal="center" vertical="center"/>
    </x:xf>
    <x:xf numFmtId="0" fontId="16" fillId="5" borderId="15" xfId="0" applyNumberFormat="1" applyFont="1" applyFill="1" applyBorder="1" applyAlignment="1">
      <x:alignment horizontal="center" vertical="center"/>
    </x:xf>
    <x:xf numFmtId="0" fontId="16" fillId="5" borderId="16" xfId="0" applyNumberFormat="1" applyFont="1" applyFill="1" applyBorder="1" applyAlignment="1">
      <x:alignment horizontal="center" vertical="center"/>
    </x:xf>
    <x:xf numFmtId="0" fontId="20" fillId="3" borderId="3" xfId="0" applyNumberFormat="1" applyFont="1" applyFill="1" applyBorder="1" applyAlignment="1">
      <x:alignment vertical="center" wrapText="1"/>
    </x:xf>
    <x:xf numFmtId="0" fontId="17" fillId="3" borderId="3" xfId="0" applyNumberFormat="1" applyFont="1" applyFill="1" applyBorder="1" applyAlignment="1">
      <x:alignment vertical="center" wrapText="1"/>
    </x:xf>
    <x:xf numFmtId="0" fontId="16" fillId="3" borderId="3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0" fontId="16" fillId="0" borderId="4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200" fontId="16" fillId="3" borderId="3" xfId="0" applyNumberFormat="1" applyFont="1" applyFill="1" applyBorder="1" applyAlignment="1">
      <x:alignment vertical="center" wrapText="1"/>
    </x:xf>
    <x:xf numFmtId="49" fontId="16" fillId="3" borderId="3" xfId="0" applyNumberFormat="1" applyFont="1" applyFill="1" applyBorder="1" applyAlignment="1">
      <x:alignment vertical="center" wrapText="1"/>
    </x:xf>
    <x:xf numFmtId="0" fontId="15" fillId="2" borderId="8" xfId="0" applyNumberFormat="1" applyFont="1" applyFill="1" applyBorder="1" applyAlignment="1">
      <x:alignment horizontal="center" wrapText="1"/>
    </x:xf>
    <x:xf numFmtId="0" fontId="16" fillId="3" borderId="8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0" fontId="15" fillId="2" borderId="8" xfId="0" applyNumberFormat="1" applyFont="1" applyFill="1" applyBorder="1" applyAlignment="1">
      <x:alignment horizontal="center" vertical="top" wrapText="1"/>
    </x:xf>
    <x:xf numFmtId="0" fontId="16" fillId="3" borderId="8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3" borderId="3" xfId="0" applyNumberFormat="1" applyFont="1" applyFill="1" applyBorder="1" applyAlignment="1">
      <x:alignment wrapText="1"/>
    </x:xf>
    <x:xf numFmtId="0" fontId="16" fillId="3" borderId="13" xfId="0" applyNumberFormat="1" applyFont="1" applyFill="1" applyBorder="1" applyAlignment="1">
      <x:alignment wrapText="1"/>
    </x:xf>
    <x:xf numFmtId="0" fontId="16" fillId="3" borderId="17" xfId="0" applyNumberFormat="1" applyFont="1" applyFill="1" applyBorder="1" applyAlignment="1">
      <x:alignment vertical="top" wrapText="1"/>
    </x:xf>
    <x:xf numFmtId="202" fontId="16" fillId="3" borderId="3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38fe028ca43e3" /><Relationship Type="http://schemas.openxmlformats.org/officeDocument/2006/relationships/theme" Target="/xl/theme/theme1.xml" Id="Rd69bc66a5ec240dc" /><Relationship Type="http://schemas.openxmlformats.org/officeDocument/2006/relationships/sharedStrings" Target="/xl/sharedStrings.xml" Id="R9f6d18fcb07c438a" /><Relationship Type="http://schemas.openxmlformats.org/officeDocument/2006/relationships/worksheet" Target="/xl/worksheets/sheet1.xml" Id="R4ceb623bee4843f1" /><Relationship Type="http://schemas.openxmlformats.org/officeDocument/2006/relationships/worksheet" Target="/xl/worksheets/sheet2.xml" Id="R7230379c57564c2c" /><Relationship Type="http://schemas.openxmlformats.org/officeDocument/2006/relationships/worksheet" Target="/xl/worksheets/sheet3.xml" Id="R6813f60d56c7446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100" t="str">
        <x:v>HealthAgent 模块二测试用例清单</x:v>
      </x:c>
      <x:c r="C2" s="101"/>
      <x:c r="D2" s="102"/>
      <x:c r="E2" s="102"/>
      <x:c r="F2" s="102"/>
      <x:c r="G2" s="102"/>
      <x:c r="H2" s="102"/>
      <x:c r="I2" s="102"/>
      <x:c r="J2" s="102"/>
      <x:c r="K2" s="102"/>
      <x:c r="L2" s="102"/>
    </x:row>
    <x:row r="3"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</x:row>
    <x:row r="4">
      <x:c r="B4" s="102"/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</x:row>
    <x:row r="5" ht="3.9000000953674316" customHeight="1">
      <x:c r="B5" s="102"/>
      <x:c r="C5" s="102"/>
      <x:c r="D5" s="102"/>
      <x:c r="E5" s="102"/>
      <x:c r="F5" s="102"/>
      <x:c r="G5" s="102"/>
      <x:c r="H5" s="102"/>
      <x:c r="I5" s="102"/>
      <x:c r="J5" s="102"/>
      <x:c r="K5" s="102"/>
      <x:c r="L5" s="102"/>
    </x:row>
    <x:row r="6" ht="16.200000762939453">
      <x:c r="B6" s="103" t="s">
        <x:v>0</x:v>
      </x:c>
      <x:c r="C6" s="103"/>
      <x:c r="D6" s="103"/>
      <x:c r="E6" s="103"/>
      <x:c r="F6" s="103"/>
      <x:c r="G6" s="103"/>
      <x:c r="H6" s="103"/>
      <x:c r="I6" s="103"/>
      <x:c r="J6" s="103"/>
      <x:c r="K6" s="103"/>
      <x:c r="L6" s="104"/>
    </x:row>
    <x:row r="7" ht="27" customHeight="1">
      <x:c r="B7" s="103" t="s">
        <x:v>1</x:v>
      </x:c>
      <x:c r="C7" s="103"/>
      <x:c r="D7" s="103"/>
      <x:c r="E7" s="105" t="str">
        <x:v>99318c9 + 工作区</x:v>
      </x:c>
      <x:c r="F7" s="105"/>
      <x:c r="G7" s="103" t="s">
        <x:v>2</x:v>
      </x:c>
      <x:c r="H7" s="103"/>
      <x:c r="I7" s="103"/>
      <x:c r="J7" s="105" t="str">
        <x:v>课程作业</x:v>
      </x:c>
      <x:c r="K7" s="105"/>
      <x:c r="L7" s="104"/>
    </x:row>
    <x:row r="8" ht="27" customHeight="1">
      <x:c r="B8" s="103" t="s">
        <x:v>3</x:v>
      </x:c>
      <x:c r="C8" s="103"/>
      <x:c r="D8" s="103"/>
      <x:c r="E8" s="105" t="str">
        <x:v>HealthAgent</x:v>
      </x:c>
      <x:c r="F8" s="105"/>
      <x:c r="G8" s="103" t="s">
        <x:v>4</x:v>
      </x:c>
      <x:c r="H8" s="103"/>
      <x:c r="I8" s="103"/>
      <x:c r="J8" s="105" t="str">
        <x:v>M2</x:v>
      </x:c>
      <x:c r="K8" s="105"/>
      <x:c r="L8" s="104"/>
    </x:row>
    <x:row r="9" ht="36" customHeight="1">
      <x:c r="B9" s="103" t="s">
        <x:v>5</x:v>
      </x:c>
      <x:c r="C9" s="103"/>
      <x:c r="D9" s="103"/>
      <x:c r="E9" s="142" t="str">
        <x:v>陆京超、袁立沛（AI辅助）</x:v>
      </x:c>
      <x:c r="F9" s="142"/>
      <x:c r="G9" s="103" t="s">
        <x:v>6</x:v>
      </x:c>
      <x:c r="H9" s="103"/>
      <x:c r="I9" s="103"/>
      <x:c r="J9" s="106" t="n">
        <x:v>46279</x:v>
      </x:c>
      <x:c r="K9" s="105"/>
      <x:c r="L9" s="104"/>
    </x:row>
    <x:row r="10" ht="27" customHeight="1">
      <x:c r="B10" s="103" t="s">
        <x:v>7</x:v>
      </x:c>
      <x:c r="C10" s="103"/>
      <x:c r="D10" s="103"/>
      <x:c r="E10" s="105" t="str">
        <x:v>待本人复核</x:v>
      </x:c>
      <x:c r="F10" s="105"/>
      <x:c r="G10" s="103" t="s">
        <x:v>6</x:v>
      </x:c>
      <x:c r="H10" s="103"/>
      <x:c r="I10" s="103"/>
      <x:c r="J10" s="105"/>
      <x:c r="K10" s="105"/>
      <x:c r="L10" s="104"/>
    </x:row>
    <x:row r="11" ht="27" customHeight="1">
      <x:c r="B11" s="103" t="s">
        <x:v>8</x:v>
      </x:c>
      <x:c r="C11" s="103"/>
      <x:c r="D11" s="103"/>
      <x:c r="E11" s="105" t="str">
        <x:v>待批准</x:v>
      </x:c>
      <x:c r="F11" s="105"/>
      <x:c r="G11" s="103" t="s">
        <x:v>6</x:v>
      </x:c>
      <x:c r="H11" s="103"/>
      <x:c r="I11" s="103"/>
      <x:c r="J11" s="105"/>
      <x:c r="K11" s="105"/>
      <x:c r="L11" s="104"/>
    </x:row>
    <x:row r="12" ht="27" customHeight="1">
      <x:c r="B12" s="107"/>
      <x:c r="C12" s="107"/>
      <x:c r="D12" s="107"/>
      <x:c r="E12" s="107"/>
      <x:c r="F12" s="107"/>
      <x:c r="G12" s="107"/>
      <x:c r="H12" s="107"/>
      <x:c r="I12" s="107"/>
      <x:c r="J12" s="107"/>
      <x:c r="K12" s="107"/>
      <x:c r="L12" s="102"/>
    </x:row>
    <x:row r="13" ht="27" customHeight="1">
      <x:c r="B13" s="103" t="s">
        <x:v>9</x:v>
      </x:c>
      <x:c r="C13" s="103"/>
      <x:c r="D13" s="103"/>
      <x:c r="E13" s="108" t="n">
        <x:f>COUNTA('Test Cases测试用例'!A2:A21)</x:f>
        <x:v>20</x:v>
      </x:c>
      <x:c r="F13" s="104"/>
      <x:c r="G13" s="102"/>
      <x:c r="H13" s="102"/>
      <x:c r="I13" s="102"/>
      <x:c r="J13" s="102"/>
      <x:c r="K13" s="102"/>
      <x:c r="L13" s="102"/>
    </x:row>
    <x:row r="14" ht="3.9000000953674316" customHeight="1">
      <x:c r="B14" s="107"/>
      <x:c r="C14" s="107"/>
      <x:c r="D14" s="107"/>
      <x:c r="E14" s="107"/>
      <x:c r="F14" s="102"/>
      <x:c r="G14" s="102"/>
      <x:c r="H14" s="102"/>
      <x:c r="I14" s="102"/>
      <x:c r="J14" s="102"/>
      <x:c r="K14" s="102"/>
      <x:c r="L14" s="102"/>
    </x:row>
    <x:row r="15" ht="16.200000762939453">
      <x:c r="B15" s="103" t="s">
        <x:v>10</x:v>
      </x:c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4"/>
    </x:row>
    <x:row r="16" ht="34" customHeight="1">
      <x:c r="B16" s="140" t="str">
        <x:v>20条新增用例，均通过。依据第一批_袁立沛/执行结果/20260914_212935_082440；39条回归与8条认证复测不重复计数。</x:v>
      </x:c>
      <x:c r="C16" s="141"/>
      <x:c r="D16" s="142"/>
      <x:c r="E16" s="142"/>
      <x:c r="F16" s="142"/>
      <x:c r="G16" s="142"/>
      <x:c r="H16" s="142"/>
      <x:c r="I16" s="142"/>
      <x:c r="J16" s="142"/>
      <x:c r="K16" s="142"/>
      <x:c r="L16" s="143"/>
    </x:row>
    <x:row r="17" ht="34" customHeight="1">
      <x:c r="B17" s="144"/>
      <x:c r="C17" s="144"/>
      <x:c r="D17" s="144"/>
      <x:c r="E17" s="144"/>
      <x:c r="F17" s="144"/>
      <x:c r="G17" s="144"/>
      <x:c r="H17" s="144"/>
      <x:c r="I17" s="144"/>
      <x:c r="J17" s="144"/>
      <x:c r="K17" s="144"/>
      <x:c r="L17" s="145"/>
    </x:row>
    <x:row r="18" ht="16.200000762939453">
      <x:c r="B18" s="103" t="s">
        <x:v>11</x:v>
      </x:c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4"/>
    </x:row>
    <x:row r="19" ht="48">
      <x:c r="B19" s="111" t="s">
        <x:v>12</x:v>
      </x:c>
      <x:c r="C19" s="111" t="s">
        <x:v>13</x:v>
      </x:c>
      <x:c r="D19" s="111" t="s">
        <x:v>14</x:v>
      </x:c>
      <x:c r="E19" s="112" t="s">
        <x:v>15</x:v>
      </x:c>
      <x:c r="F19" s="112"/>
      <x:c r="G19" s="112"/>
      <x:c r="H19" s="112"/>
      <x:c r="I19" s="112"/>
      <x:c r="J19" s="112"/>
      <x:c r="K19" s="111" t="s">
        <x:v>16</x:v>
      </x:c>
      <x:c r="L19" s="104"/>
    </x:row>
    <x:row r="20" ht="45" customHeight="1">
      <x:c r="B20" s="157" t="n">
        <x:v>46279</x:v>
      </x:c>
      <x:c r="C20" s="147" t="str">
        <x:v>1.1</x:v>
      </x:c>
      <x:c r="D20" s="142" t="str">
        <x:v>M2-D01复测</x:v>
      </x:c>
      <x:c r="E20" s="142" t="str">
        <x:v>合并001至020，20条通过；M2-D01仍计1项</x:v>
      </x:c>
      <x:c r="F20" s="142"/>
      <x:c r="G20" s="142"/>
      <x:c r="H20" s="142"/>
      <x:c r="I20" s="142"/>
      <x:c r="J20" s="142"/>
      <x:c r="K20" s="142" t="str">
        <x:v>AI辅助</x:v>
      </x:c>
      <x:c r="L20" s="143"/>
    </x:row>
    <x:row r="21" ht="16.200000762939453">
      <x:c r="B21" s="114"/>
      <x:c r="C21" s="113"/>
      <x:c r="D21" s="105"/>
      <x:c r="E21" s="105"/>
      <x:c r="F21" s="105"/>
      <x:c r="G21" s="105"/>
      <x:c r="H21" s="105"/>
      <x:c r="I21" s="105"/>
      <x:c r="J21" s="105"/>
      <x:c r="K21" s="105"/>
      <x:c r="L21" s="104"/>
    </x:row>
    <x:row r="22" ht="16.200000762939453">
      <x:c r="B22" s="114"/>
      <x:c r="C22" s="113"/>
      <x:c r="D22" s="105"/>
      <x:c r="E22" s="105"/>
      <x:c r="F22" s="105"/>
      <x:c r="G22" s="105"/>
      <x:c r="H22" s="105"/>
      <x:c r="I22" s="105"/>
      <x:c r="J22" s="105"/>
      <x:c r="K22" s="105"/>
      <x:c r="L22" s="104"/>
    </x:row>
    <x:row r="23" ht="16.200000762939453">
      <x:c r="B23" s="114"/>
      <x:c r="C23" s="113"/>
      <x:c r="D23" s="105"/>
      <x:c r="E23" s="105"/>
      <x:c r="F23" s="105"/>
      <x:c r="G23" s="105"/>
      <x:c r="H23" s="105"/>
      <x:c r="I23" s="105"/>
      <x:c r="J23" s="105"/>
      <x:c r="K23" s="105"/>
      <x:c r="L23" s="104"/>
    </x:row>
    <x:row r="24" ht="16.200000762939453">
      <x:c r="B24" s="114"/>
      <x:c r="C24" s="113"/>
      <x:c r="D24" s="115"/>
      <x:c r="E24" s="105"/>
      <x:c r="F24" s="105"/>
      <x:c r="G24" s="105"/>
      <x:c r="H24" s="105"/>
      <x:c r="I24" s="105"/>
      <x:c r="J24" s="105"/>
      <x:c r="K24" s="105"/>
      <x:c r="L24" s="104"/>
    </x:row>
    <x:row r="25" ht="16.200000762939453">
      <x:c r="B25" s="114"/>
      <x:c r="C25" s="113"/>
      <x:c r="D25" s="105"/>
      <x:c r="E25" s="105"/>
      <x:c r="F25" s="105"/>
      <x:c r="G25" s="105"/>
      <x:c r="H25" s="105"/>
      <x:c r="I25" s="105"/>
      <x:c r="J25" s="105"/>
      <x:c r="K25" s="105"/>
      <x:c r="L25" s="104"/>
    </x:row>
    <x:row r="26" ht="3.9000000953674316" customHeight="1">
      <x:c r="B26" s="107"/>
      <x:c r="C26" s="107"/>
      <x:c r="D26" s="107"/>
      <x:c r="E26" s="107"/>
      <x:c r="F26" s="107"/>
      <x:c r="G26" s="107"/>
      <x:c r="H26" s="107"/>
      <x:c r="I26" s="107"/>
      <x:c r="J26" s="107"/>
      <x:c r="K26" s="107"/>
      <x:c r="L26" s="102"/>
    </x:row>
    <x:row r="27" ht="16.200000762939453">
      <x:c r="B27" s="103" t="s">
        <x:v>17</x:v>
      </x:c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4"/>
    </x:row>
    <x:row r="28" ht="16.200000762939453">
      <x:c r="B28" s="116" t="s">
        <x:v>18</x:v>
      </x:c>
      <x:c r="C28" s="103" t="s">
        <x:v>19</x:v>
      </x:c>
      <x:c r="D28" s="103"/>
      <x:c r="E28" s="103"/>
      <x:c r="F28" s="103"/>
      <x:c r="G28" s="103"/>
      <x:c r="H28" s="103"/>
      <x:c r="I28" s="103"/>
      <x:c r="J28" s="103" t="s">
        <x:v>20</x:v>
      </x:c>
      <x:c r="K28" s="103"/>
      <x:c r="L28" s="104"/>
    </x:row>
    <x:row r="29">
      <x:c r="B29" s="105" t="n">
        <x:v>1</x:v>
      </x:c>
      <x:c r="C29" s="105" t="str">
        <x:v>课程小组，待本人复核</x:v>
      </x:c>
      <x:c r="D29" s="105"/>
      <x:c r="E29" s="105"/>
      <x:c r="F29" s="105"/>
      <x:c r="G29" s="105"/>
      <x:c r="H29" s="105"/>
      <x:c r="I29" s="105"/>
      <x:c r="J29" s="114"/>
      <x:c r="K29" s="114"/>
      <x:c r="L29" s="104"/>
    </x:row>
    <x:row r="30">
      <x:c r="B30" s="105"/>
      <x:c r="C30" s="105"/>
      <x:c r="D30" s="105"/>
      <x:c r="E30" s="105"/>
      <x:c r="F30" s="105"/>
      <x:c r="G30" s="105"/>
      <x:c r="H30" s="105"/>
      <x:c r="I30" s="105"/>
      <x:c r="J30" s="114"/>
      <x:c r="K30" s="114"/>
      <x:c r="L30" s="104"/>
    </x:row>
    <x:row r="31">
      <x:c r="B31" s="105"/>
      <x:c r="C31" s="105"/>
      <x:c r="D31" s="105"/>
      <x:c r="E31" s="105"/>
      <x:c r="F31" s="105"/>
      <x:c r="G31" s="105"/>
      <x:c r="H31" s="105"/>
      <x:c r="I31" s="105"/>
      <x:c r="J31" s="114"/>
      <x:c r="K31" s="114"/>
      <x:c r="L31" s="104"/>
    </x:row>
    <x:row r="32">
      <x:c r="B32" s="105"/>
      <x:c r="C32" s="105"/>
      <x:c r="D32" s="105"/>
      <x:c r="E32" s="105"/>
      <x:c r="F32" s="105"/>
      <x:c r="G32" s="105"/>
      <x:c r="H32" s="105"/>
      <x:c r="I32" s="105"/>
      <x:c r="J32" s="114"/>
      <x:c r="K32" s="114"/>
      <x:c r="L32" s="104"/>
    </x:row>
    <x:row r="33">
      <x:c r="B33" s="117"/>
      <x:c r="C33" s="118"/>
      <x:c r="D33" s="118"/>
      <x:c r="E33" s="118"/>
      <x:c r="F33" s="118"/>
      <x:c r="G33" s="118"/>
      <x:c r="H33" s="118"/>
      <x:c r="I33" s="118"/>
      <x:c r="J33" s="119"/>
      <x:c r="K33" s="120"/>
      <x:c r="L33" s="102"/>
    </x:row>
    <x:row r="34">
      <x:c r="B34" s="121"/>
      <x:c r="C34" s="121"/>
      <x:c r="D34" s="121"/>
      <x:c r="E34" s="121"/>
      <x:c r="F34" s="121"/>
      <x:c r="G34" s="121"/>
      <x:c r="H34" s="121"/>
      <x:c r="I34" s="121"/>
      <x:c r="J34" s="122"/>
      <x:c r="K34" s="122"/>
      <x:c r="L34" s="102"/>
    </x:row>
    <x:row r="35"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</x:row>
    <x:row r="36"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</x:row>
    <x:row r="37" ht="15" customHeight="1">
      <x:c r="B37" s="123" t="s">
        <x:v>21</x:v>
      </x:c>
      <x:c r="C37" s="124"/>
      <x:c r="D37" s="124"/>
      <x:c r="E37" s="125"/>
      <x:c r="F37" s="102"/>
      <x:c r="G37" s="102"/>
      <x:c r="H37" s="102"/>
      <x:c r="I37" s="102"/>
      <x:c r="J37" s="102"/>
      <x:c r="K37" s="102"/>
      <x:c r="L37" s="102"/>
    </x:row>
    <x:row r="38" ht="16.200000762939453">
      <x:c r="B38" s="126" t="s">
        <x:v>22</x:v>
      </x:c>
      <x:c r="C38" s="127" t="n">
        <x:f>COUNTIF('Test Cases测试用例'!L2:L21,"OK")</x:f>
        <x:v>20</x:v>
      </x:c>
      <x:c r="D38" s="126" t="s">
        <x:v>23</x:v>
      </x:c>
      <x:c r="E38" s="128" t="n">
        <x:f>IF(E13=0,0,C38/E13)</x:f>
        <x:v>1</x:v>
      </x:c>
      <x:c r="F38" s="102"/>
      <x:c r="G38" s="102"/>
      <x:c r="H38" s="102"/>
      <x:c r="I38" s="102"/>
      <x:c r="J38" s="102"/>
      <x:c r="K38" s="102"/>
      <x:c r="L38" s="102"/>
    </x:row>
    <x:row r="39" ht="16.200000762939453">
      <x:c r="B39" s="126" t="s">
        <x:v>24</x:v>
      </x:c>
      <x:c r="C39" s="127" t="n">
        <x:f>COUNTIF('Test Cases测试用例'!L2:L21,"POK")</x:f>
        <x:v>0</x:v>
      </x:c>
      <x:c r="D39" s="126" t="s">
        <x:v>25</x:v>
      </x:c>
      <x:c r="E39" s="128" t="n">
        <x:f>IF(E13=0,0,C39/E13)</x:f>
        <x:v>0</x:v>
      </x:c>
      <x:c r="F39" s="102"/>
      <x:c r="G39" s="102"/>
      <x:c r="H39" s="102"/>
      <x:c r="I39" s="102"/>
      <x:c r="J39" s="102"/>
      <x:c r="K39" s="102"/>
      <x:c r="L39" s="102"/>
    </x:row>
    <x:row r="40" ht="16.200000762939453">
      <x:c r="B40" s="126" t="s">
        <x:v>26</x:v>
      </x:c>
      <x:c r="C40" s="127" t="n">
        <x:f>COUNTIF('Test Cases测试用例'!L2:L21,"NG")</x:f>
        <x:v>0</x:v>
      </x:c>
      <x:c r="D40" s="126" t="s">
        <x:v>27</x:v>
      </x:c>
      <x:c r="E40" s="128" t="n">
        <x:f>IF(E13=0,0,C40/E13)</x:f>
        <x:v>0</x:v>
      </x:c>
      <x:c r="F40" s="102"/>
      <x:c r="G40" s="102"/>
      <x:c r="H40" s="102"/>
      <x:c r="I40" s="102"/>
      <x:c r="J40" s="102"/>
      <x:c r="K40" s="102"/>
      <x:c r="L40" s="102"/>
    </x:row>
    <x:row r="41" ht="16.200000762939453">
      <x:c r="B41" s="129" t="s">
        <x:v>28</x:v>
      </x:c>
      <x:c r="C41" s="130" t="n">
        <x:f>COUNTIF('Test Cases测试用例'!L2:L21,"NT")</x:f>
        <x:v>0</x:v>
      </x:c>
      <x:c r="D41" s="129" t="s">
        <x:v>29</x:v>
      </x:c>
      <x:c r="E41" s="131" t="n">
        <x:f>IF(E13=0,0,C41/E13)</x:f>
        <x:v>0</x:v>
      </x:c>
      <x:c r="F41" s="102"/>
      <x:c r="G41" s="102"/>
      <x:c r="H41" s="102"/>
      <x:c r="I41" s="102"/>
      <x:c r="J41" s="102"/>
      <x:c r="K41" s="102"/>
      <x:c r="L41" s="102"/>
    </x:row>
    <x:row r="42" ht="3" customHeight="1">
      <x:c r="B42" s="132"/>
      <x:c r="C42" s="133"/>
      <x:c r="D42" s="134"/>
      <x:c r="E42" s="135"/>
      <x:c r="F42" s="102"/>
      <x:c r="G42" s="102"/>
      <x:c r="H42" s="102"/>
      <x:c r="I42" s="102"/>
      <x:c r="J42" s="102"/>
      <x:c r="K42" s="102"/>
      <x:c r="L42" s="102"/>
    </x:row>
    <x:row r="43" ht="16.200000762939453">
      <x:c r="B43" s="136" t="s">
        <x:v>30</x:v>
      </x:c>
      <x:c r="C43" s="137" t="n">
        <x:f>E13</x:f>
        <x:v>20</x:v>
      </x:c>
      <x:c r="D43" s="138"/>
      <x:c r="E43" s="139"/>
      <x:c r="F43" s="102"/>
      <x:c r="G43" s="102"/>
      <x:c r="H43" s="102"/>
      <x:c r="I43" s="102"/>
      <x:c r="J43" s="102"/>
      <x:c r="K43" s="102"/>
      <x:c r="L43" s="102"/>
    </x:row>
  </x:sheetData>
  <x:mergeCells>
    <x:mergeCell ref="B37:E37"/>
    <x:mergeCell ref="C43:E43"/>
    <x:mergeCell ref="E7:F7"/>
    <x:mergeCell ref="J7:L7"/>
    <x:mergeCell ref="E8:F8"/>
    <x:mergeCell ref="J8:L8"/>
    <x:mergeCell ref="E9:F9"/>
    <x:mergeCell ref="J9:L9"/>
    <x:mergeCell ref="E10:F10"/>
    <x:mergeCell ref="J10:L10"/>
    <x:mergeCell ref="E11:F11"/>
    <x:mergeCell ref="J11:L11"/>
    <x:mergeCell ref="B16:L17"/>
    <x:mergeCell ref="E20:J20"/>
    <x:mergeCell ref="C29:I29"/>
    <x:mergeCell ref="B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1.6328125" defaultRowHeight="15.600000381469727"/>
  <x:cols>
    <x:col min="1" max="1" width="15.36328125" style="44" customWidth="1"/>
    <x:col min="2" max="2" width="16.54296875" style="44" customWidth="1"/>
    <x:col min="3" max="3" width="26.81640625" style="44" customWidth="1"/>
    <x:col min="4" max="4" width="21" style="44" customWidth="1"/>
    <x:col min="5" max="5" width="13.90625" style="44" hidden="1" customWidth="1"/>
    <x:col min="6" max="6" width="8.90625" style="44" hidden="1" customWidth="1"/>
    <x:col min="7" max="7" width="24" style="44" hidden="0" customWidth="1"/>
    <x:col min="8" max="8" width="44" style="44" hidden="0" customWidth="1"/>
    <x:col min="9" max="9" width="32" style="44" hidden="0" customWidth="1"/>
    <x:col min="10" max="10" width="28" style="44" hidden="0" customWidth="1"/>
    <x:col min="11" max="11" width="28" style="44" hidden="0" customWidth="1"/>
    <x:col min="12" max="12" width="11" style="44" customWidth="1"/>
    <x:col min="13" max="13" width="30" style="44" hidden="0" customWidth="1"/>
    <x:col min="14" max="14" width="3.453125" style="41" hidden="1" customWidth="1"/>
    <x:col min="15" max="16384" width="11.6328125" style="41" customWidth="0"/>
  </x:cols>
  <x:sheetData>
    <x:row r="1" ht="48">
      <x:c r="A1" s="151" t="s">
        <x:v>31</x:v>
      </x:c>
      <x:c r="B1" s="151" t="s">
        <x:v>32</x:v>
      </x:c>
      <x:c r="C1" s="151" t="s">
        <x:v>33</x:v>
      </x:c>
      <x:c r="D1" s="151" t="s">
        <x:v>34</x:v>
      </x:c>
      <x:c r="E1" s="151" t="s">
        <x:v>35</x:v>
      </x:c>
      <x:c r="F1" s="151" t="s">
        <x:v>36</x:v>
      </x:c>
      <x:c r="G1" s="151" t="s">
        <x:v>37</x:v>
      </x:c>
      <x:c r="H1" s="151" t="s">
        <x:v>38</x:v>
      </x:c>
      <x:c r="I1" s="151" t="s">
        <x:v>39</x:v>
      </x:c>
      <x:c r="J1" s="151" t="s">
        <x:v>40</x:v>
      </x:c>
      <x:c r="K1" s="151" t="s">
        <x:v>41</x:v>
      </x:c>
      <x:c r="L1" s="151" t="s">
        <x:v>42</x:v>
      </x:c>
      <x:c r="M1" s="151" t="s">
        <x:v>43</x:v>
      </x:c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 ht="64" customHeight="1">
      <x:c r="A2" s="152" t="str">
        <x:v>M2-TC-001</x:v>
      </x:c>
      <x:c r="B2" s="152" t="str">
        <x:v>鉴权用户ID格式</x:v>
      </x:c>
      <x:c r="C2" s="152" t="str">
        <x:v>鉴权用户ID格式</x:v>
      </x:c>
      <x:c r="D2" s="152" t="str">
        <x:v>中</x:v>
      </x:c>
      <x:c r="E2" s="152" t="str">
        <x:v>是</x:v>
      </x:c>
      <x:c r="F2" s="152" t="str">
        <x:v>新增</x:v>
      </x:c>
      <x:c r="G2" s="152" t="str">
        <x:v>内存库；隔离测试密钥签名；类型正确</x:v>
      </x:c>
      <x:c r="H2" s="152" t="str">
        <x:v>type=access，sub=not-an-integer；GET /api/v1/users/me</x:v>
      </x:c>
      <x:c r="I2" s="152" t="str">
        <x:v>构造JWT后请求对应接口，检查状态码和响应</x:v>
      </x:c>
      <x:c r="J2" s="152" t="str">
        <x:v>401，不返回access_token</x:v>
      </x:c>
      <x:c r="K2" s="152" t="str">
        <x:v>401，无access_token</x:v>
      </x:c>
      <x:c r="L2" s="152" t="str">
        <x:v>OK</x:v>
      </x:c>
      <x:c r="M2" s="152" t="str">
        <x:v>无效等价类、健壮性；AI辅助，待本人复核</x:v>
      </x:c>
      <x:c r="N2" s="43" t="s">
        <x:v>44</x:v>
      </x:c>
    </x:row>
    <x:row r="3" ht="64" customHeight="1">
      <x:c r="A3" s="152" t="str">
        <x:v>M2-TC-002</x:v>
      </x:c>
      <x:c r="B3" s="152" t="str">
        <x:v>刷新用户ID格式</x:v>
      </x:c>
      <x:c r="C3" s="152" t="str">
        <x:v>刷新用户ID格式</x:v>
      </x:c>
      <x:c r="D3" s="152" t="str">
        <x:v>中</x:v>
      </x:c>
      <x:c r="E3" s="152" t="str">
        <x:v>是</x:v>
      </x:c>
      <x:c r="F3" s="152" t="str">
        <x:v>新增</x:v>
      </x:c>
      <x:c r="G3" s="152" t="str">
        <x:v>内存库；隔离测试密钥签名；类型正确</x:v>
      </x:c>
      <x:c r="H3" s="152" t="str">
        <x:v>type=refresh，sub=not-an-integer；POST /api/v1/auth/refresh</x:v>
      </x:c>
      <x:c r="I3" s="152" t="str">
        <x:v>构造JWT后请求对应接口，检查状态码和响应</x:v>
      </x:c>
      <x:c r="J3" s="152" t="str">
        <x:v>401，不返回access_token</x:v>
      </x:c>
      <x:c r="K3" s="152" t="str">
        <x:v>401，无access_token</x:v>
      </x:c>
      <x:c r="L3" s="152" t="str">
        <x:v>OK</x:v>
      </x:c>
      <x:c r="M3" s="152" t="str">
        <x:v>无效等价类、健壮性；AI辅助，待本人复核</x:v>
      </x:c>
      <x:c r="N3" s="43" t="s">
        <x:v>45</x:v>
      </x:c>
    </x:row>
    <x:row r="4" ht="64" customHeight="1">
      <x:c r="A4" s="152" t="str">
        <x:v>M2-TC-003</x:v>
      </x:c>
      <x:c r="B4" s="152" t="str">
        <x:v>刷新缺少用户ID</x:v>
      </x:c>
      <x:c r="C4" s="152" t="str">
        <x:v>刷新缺少用户ID</x:v>
      </x:c>
      <x:c r="D4" s="153" t="str">
        <x:v>中</x:v>
      </x:c>
      <x:c r="E4" s="152" t="str">
        <x:v>是</x:v>
      </x:c>
      <x:c r="F4" s="152" t="str">
        <x:v>新增</x:v>
      </x:c>
      <x:c r="G4" s="152" t="str">
        <x:v>内存库；隔离测试密钥签名；类型正确</x:v>
      </x:c>
      <x:c r="H4" s="152" t="str">
        <x:v>type=refresh，省略sub；POST /api/v1/auth/refresh</x:v>
      </x:c>
      <x:c r="I4" s="152" t="str">
        <x:v>构造JWT后请求对应接口，检查状态码和响应</x:v>
      </x:c>
      <x:c r="J4" s="152" t="str">
        <x:v>401，不返回access_token</x:v>
      </x:c>
      <x:c r="K4" s="152" t="str">
        <x:v>401，无access_token</x:v>
      </x:c>
      <x:c r="L4" s="152" t="str">
        <x:v>OK</x:v>
      </x:c>
      <x:c r="M4" s="152" t="str">
        <x:v>必填声明缺失；AI辅助，待本人复核</x:v>
      </x:c>
      <x:c r="N4" s="43" t="s">
        <x:v>46</x:v>
      </x:c>
    </x:row>
    <x:row r="5" ht="64" customHeight="1">
      <x:c r="A5" s="152" t="str">
        <x:v>M2-TC-004</x:v>
      </x:c>
      <x:c r="B5" s="152" t="str">
        <x:v>过期访问令牌</x:v>
      </x:c>
      <x:c r="C5" s="152" t="str">
        <x:v>过期访问令牌</x:v>
      </x:c>
      <x:c r="D5" s="152" t="str">
        <x:v>中</x:v>
      </x:c>
      <x:c r="E5" s="152" t="str">
        <x:v>是</x:v>
      </x:c>
      <x:c r="F5" s="152" t="str">
        <x:v>新增</x:v>
      </x:c>
      <x:c r="G5" s="152" t="str">
        <x:v>内存库；隔离测试密钥签名；类型正确</x:v>
      </x:c>
      <x:c r="H5" s="152" t="str">
        <x:v>type=access，sub=1，exp比执行时刻早60秒；GET /api/v1/users/me</x:v>
      </x:c>
      <x:c r="I5" s="152" t="str">
        <x:v>构造JWT后请求对应接口，检查状态码和响应</x:v>
      </x:c>
      <x:c r="J5" s="152" t="str">
        <x:v>401，不返回access_token</x:v>
      </x:c>
      <x:c r="K5" s="152" t="str">
        <x:v>401，无access_token</x:v>
      </x:c>
      <x:c r="L5" s="152" t="str">
        <x:v>OK</x:v>
      </x:c>
      <x:c r="M5" s="152" t="str">
        <x:v>过期时间等价类；AI辅助，待本人复核</x:v>
      </x:c>
      <x:c r="N5" s="43" t="s">
        <x:v>47</x:v>
      </x:c>
    </x:row>
    <x:row r="6" ht="64" customHeight="1">
      <x:c r="A6" s="152" t="str">
        <x:v>M2-TC-005</x:v>
      </x:c>
      <x:c r="B6" s="152" t="str">
        <x:v>过期刷新令牌</x:v>
      </x:c>
      <x:c r="C6" s="152" t="str">
        <x:v>过期刷新令牌</x:v>
      </x:c>
      <x:c r="D6" s="152" t="str">
        <x:v>中</x:v>
      </x:c>
      <x:c r="E6" s="152" t="str">
        <x:v>是</x:v>
      </x:c>
      <x:c r="F6" s="152" t="str">
        <x:v>新增</x:v>
      </x:c>
      <x:c r="G6" s="152" t="str">
        <x:v>内存库；隔离测试密钥签名；类型正确</x:v>
      </x:c>
      <x:c r="H6" s="152" t="str">
        <x:v>type=refresh，sub=1，exp比执行时刻早60秒；POST /api/v1/auth/refresh</x:v>
      </x:c>
      <x:c r="I6" s="152" t="str">
        <x:v>构造JWT后请求对应接口，检查状态码和响应</x:v>
      </x:c>
      <x:c r="J6" s="152" t="str">
        <x:v>401，不返回access_token</x:v>
      </x:c>
      <x:c r="K6" s="152" t="str">
        <x:v>401，无access_token</x:v>
      </x:c>
      <x:c r="L6" s="152" t="str">
        <x:v>OK</x:v>
      </x:c>
      <x:c r="M6" s="152" t="str">
        <x:v>过期时间等价类；AI辅助，待本人复核</x:v>
      </x:c>
      <x:c r="N6" s="43"/>
    </x:row>
    <x:row r="7" ht="64" customHeight="1">
      <x:c r="A7" s="152" t="str">
        <x:v>M2-TC-006</x:v>
      </x:c>
      <x:c r="B7" s="152" t="str">
        <x:v>访问缺少用户ID</x:v>
      </x:c>
      <x:c r="C7" s="152" t="str">
        <x:v>访问缺少用户ID</x:v>
      </x:c>
      <x:c r="D7" s="152" t="str">
        <x:v>中</x:v>
      </x:c>
      <x:c r="E7" s="152" t="str">
        <x:v>是</x:v>
      </x:c>
      <x:c r="F7" s="152" t="str">
        <x:v>新增</x:v>
      </x:c>
      <x:c r="G7" s="152" t="str">
        <x:v>内存库；隔离测试密钥签名；类型正确</x:v>
      </x:c>
      <x:c r="H7" s="152" t="str">
        <x:v>type=access，省略sub；GET /api/v1/users/me</x:v>
      </x:c>
      <x:c r="I7" s="152" t="str">
        <x:v>构造JWT后请求对应接口，检查状态码和响应</x:v>
      </x:c>
      <x:c r="J7" s="152" t="str">
        <x:v>401，不返回access_token</x:v>
      </x:c>
      <x:c r="K7" s="152" t="str">
        <x:v>401，无access_token</x:v>
      </x:c>
      <x:c r="L7" s="152" t="str">
        <x:v>OK</x:v>
      </x:c>
      <x:c r="M7" s="152" t="str">
        <x:v>必填声明缺失；AI辅助，待本人复核</x:v>
      </x:c>
      <x:c r="N7" s="43"/>
    </x:row>
    <x:row r="8" ht="64" customHeight="1">
      <x:c r="A8" s="152" t="str">
        <x:v>M2-TC-007</x:v>
      </x:c>
      <x:c r="B8" s="152" t="str">
        <x:v>访问用户ID超范围</x:v>
      </x:c>
      <x:c r="C8" s="152" t="str">
        <x:v>访问用户ID超范围</x:v>
      </x:c>
      <x:c r="D8" s="152" t="str">
        <x:v>中</x:v>
      </x:c>
      <x:c r="E8" s="152" t="str">
        <x:v>是</x:v>
      </x:c>
      <x:c r="F8" s="152" t="str">
        <x:v>新增</x:v>
      </x:c>
      <x:c r="G8" s="152" t="str">
        <x:v>内存库；隔离测试密钥签名；类型正确</x:v>
      </x:c>
      <x:c r="H8" s="152" t="str">
        <x:v>type=access，sub=9223372036854775808；GET /api/v1/users/me</x:v>
      </x:c>
      <x:c r="I8" s="152" t="str">
        <x:v>构造JWT后请求对应接口，检查状态码和响应</x:v>
      </x:c>
      <x:c r="J8" s="152" t="str">
        <x:v>401，不返回access_token</x:v>
      </x:c>
      <x:c r="K8" s="152" t="str">
        <x:v>401，无access_token</x:v>
      </x:c>
      <x:c r="L8" s="152" t="str">
        <x:v>OK</x:v>
      </x:c>
      <x:c r="M8" s="152" t="str">
        <x:v>整数上界外侧；AI辅助，待本人复核</x:v>
      </x:c>
      <x:c r="N8" s="43"/>
    </x:row>
    <x:row r="9" ht="64" customHeight="1">
      <x:c r="A9" s="152" t="str">
        <x:v>M2-TC-008</x:v>
      </x:c>
      <x:c r="B9" s="152" t="str">
        <x:v>刷新用户ID超范围</x:v>
      </x:c>
      <x:c r="C9" s="152" t="str">
        <x:v>刷新用户ID超范围</x:v>
      </x:c>
      <x:c r="D9" s="152" t="str">
        <x:v>中</x:v>
      </x:c>
      <x:c r="E9" s="152" t="str">
        <x:v>是</x:v>
      </x:c>
      <x:c r="F9" s="152" t="str">
        <x:v>新增</x:v>
      </x:c>
      <x:c r="G9" s="152" t="str">
        <x:v>内存库；隔离测试密钥签名；类型正确</x:v>
      </x:c>
      <x:c r="H9" s="152" t="str">
        <x:v>type=refresh，sub=9223372036854775808；POST /api/v1/auth/refresh</x:v>
      </x:c>
      <x:c r="I9" s="152" t="str">
        <x:v>构造JWT后请求对应接口，检查状态码和响应</x:v>
      </x:c>
      <x:c r="J9" s="152" t="str">
        <x:v>401，不返回access_token</x:v>
      </x:c>
      <x:c r="K9" s="152" t="str">
        <x:v>401，无access_token</x:v>
      </x:c>
      <x:c r="L9" s="152" t="str">
        <x:v>OK</x:v>
      </x:c>
      <x:c r="M9" s="152" t="str">
        <x:v>整数上界外侧；AI辅助，待本人复核</x:v>
      </x:c>
      <x:c r="N9" s="43"/>
    </x:row>
    <x:row r="10" ht="64" customHeight="1">
      <x:c r="A10" s="152" t="str">
        <x:v>M2-TC-009</x:v>
      </x:c>
      <x:c r="B10" s="152" t="str">
        <x:v>英文昵称长度边界</x:v>
      </x:c>
      <x:c r="C10" s="152" t="str">
        <x:v>英文昵称长度边界</x:v>
      </x:c>
      <x:c r="D10" s="152" t="str">
        <x:v>中</x:v>
      </x:c>
      <x:c r="E10" s="152" t="str">
        <x:v>是</x:v>
      </x:c>
      <x:c r="F10" s="152" t="str">
        <x:v>新增</x:v>
      </x:c>
      <x:c r="G10" s="152" t="str">
        <x:v>先注册测试用户，取得有效Token</x:v>
      </x:c>
      <x:c r="H10" s="152" t="str">
        <x:v>PATCH /api/v1/users/me，64个N后再提交65字符；GET检查</x:v>
      </x:c>
      <x:c r="I10" s="152" t="str">
        <x:v>依次提交边界输入，再GET核验保留或清空</x:v>
      </x:c>
      <x:c r="J10" s="152" t="str">
        <x:v>64字符200，65字符422，原64字符值保留</x:v>
      </x:c>
      <x:c r="K10" s="152" t="str">
        <x:v>200/422；原值保留</x:v>
      </x:c>
      <x:c r="L10" s="152" t="str">
        <x:v>OK</x:v>
      </x:c>
      <x:c r="M10" s="152" t="str">
        <x:v>边界值、场景法；AI辅助，待本人复核</x:v>
      </x:c>
      <x:c r="N10" s="43"/>
    </x:row>
    <x:row r="11" ht="64" customHeight="1">
      <x:c r="A11" s="152" t="str">
        <x:v>M2-TC-010</x:v>
      </x:c>
      <x:c r="B11" s="152" t="str">
        <x:v>中文昵称长度与清空</x:v>
      </x:c>
      <x:c r="C11" s="152" t="str">
        <x:v>中文昵称长度与清空</x:v>
      </x:c>
      <x:c r="D11" s="152" t="str">
        <x:v>中</x:v>
      </x:c>
      <x:c r="E11" s="152" t="str">
        <x:v>是</x:v>
      </x:c>
      <x:c r="F11" s="152" t="str">
        <x:v>新增</x:v>
      </x:c>
      <x:c r="G11" s="152" t="str">
        <x:v>先注册测试用户，取得有效Token</x:v>
      </x:c>
      <x:c r="H11" s="152" t="str">
        <x:v>PATCH 64个汉字、65个汉字、nickname=null；GET检查</x:v>
      </x:c>
      <x:c r="I11" s="152" t="str">
        <x:v>依次提交边界输入，再GET核验保留或清空</x:v>
      </x:c>
      <x:c r="J11" s="152" t="str">
        <x:v>依次200、422、200，最终nickname为空</x:v>
      </x:c>
      <x:c r="K11" s="152" t="str">
        <x:v>200/422/200；最终为空</x:v>
      </x:c>
      <x:c r="L11" s="152" t="str">
        <x:v>OK</x:v>
      </x:c>
      <x:c r="M11" s="152" t="str">
        <x:v>字符与字节区分、场景法；AI辅助，待本人复核</x:v>
      </x:c>
      <x:c r="N11" s="43"/>
    </x:row>
    <x:row r="12" ht="86" customHeight="1">
      <x:c r="A12" s="156" t="str">
        <x:v>M2-TC-011</x:v>
      </x:c>
      <x:c r="B12" s="156" t="str">
        <x:v>血压记录</x:v>
      </x:c>
      <x:c r="C12" s="156" t="str">
        <x:v>数值下边界与外侧拒绝</x:v>
      </x:c>
      <x:c r="D12" s="156" t="str">
        <x:v>中</x:v>
      </x:c>
      <x:c r="E12" s="156" t="str">
        <x:v>是</x:v>
      </x:c>
      <x:c r="F12" s="156" t="str">
        <x:v>新增</x:v>
      </x:c>
      <x:c r="G12" s="156" t="str">
        <x:v>注册用户，SQLite内存库</x:v>
      </x:c>
      <x:c r="H12" s="156" t="str">
        <x:v>收缩压60、舒张压30、心率30；分别改为59、29、29</x:v>
      </x:c>
      <x:c r="I12" s="156" t="str">
        <x:v>先创建下边界记录，再单独降低各字段；查询总数</x:v>
      </x:c>
      <x:c r="J12" s="156" t="str">
        <x:v>合法值201并原样返回；三次外侧输入422；总数仍1</x:v>
      </x:c>
      <x:c r="K12" s="156" t="str">
        <x:v>201；外侧均422；总数1</x:v>
      </x:c>
      <x:c r="L12" s="156" t="str">
        <x:v>OK</x:v>
      </x:c>
      <x:c r="M12" s="156" t="str">
        <x:v>边界值、数据不变性；袁立沛负责范围，AI辅助，待本人复核</x:v>
      </x:c>
      <x:c r="N12" s="43"/>
    </x:row>
    <x:row r="13" ht="86" customHeight="1">
      <x:c r="A13" s="156" t="str">
        <x:v>M2-TC-012</x:v>
      </x:c>
      <x:c r="B13" s="156" t="str">
        <x:v>血压记录</x:v>
      </x:c>
      <x:c r="C13" s="156" t="str">
        <x:v>数值上边界与外侧拒绝</x:v>
      </x:c>
      <x:c r="D13" s="156" t="str">
        <x:v>中</x:v>
      </x:c>
      <x:c r="E13" s="156" t="str">
        <x:v>是</x:v>
      </x:c>
      <x:c r="F13" s="156" t="str">
        <x:v>新增</x:v>
      </x:c>
      <x:c r="G13" s="156" t="str">
        <x:v>注册用户，SQLite内存库</x:v>
      </x:c>
      <x:c r="H13" s="156" t="str">
        <x:v>收缩压260、舒张压200、心率220；分别改为261、201、221</x:v>
      </x:c>
      <x:c r="I13" s="156" t="str">
        <x:v>先创建上边界记录，再单独提高各字段；查询总数</x:v>
      </x:c>
      <x:c r="J13" s="156" t="str">
        <x:v>合法值201并原样返回；三次外侧输入422；总数仍1</x:v>
      </x:c>
      <x:c r="K13" s="156" t="str">
        <x:v>201；外侧均422；总数1</x:v>
      </x:c>
      <x:c r="L13" s="156" t="str">
        <x:v>OK</x:v>
      </x:c>
      <x:c r="M13" s="156" t="str">
        <x:v>边界值、数据不变性；袁立沛负责范围，AI辅助，待本人复核</x:v>
      </x:c>
      <x:c r="N13" s="43"/>
    </x:row>
    <x:row r="14" ht="86" customHeight="1">
      <x:c r="A14" s="156" t="str">
        <x:v>M2-TC-013</x:v>
      </x:c>
      <x:c r="B14" s="156" t="str">
        <x:v>血压记录</x:v>
      </x:c>
      <x:c r="C14" s="156" t="str">
        <x:v>非法心率更新保留原值</x:v>
      </x:c>
      <x:c r="D14" s="156" t="str">
        <x:v>中</x:v>
      </x:c>
      <x:c r="E14" s="156" t="str">
        <x:v>是</x:v>
      </x:c>
      <x:c r="F14" s="156" t="str">
        <x:v>新增</x:v>
      </x:c>
      <x:c r="G14" s="156" t="str">
        <x:v>创建心率72的记录</x:v>
      </x:c>
      <x:c r="H14" s="156" t="str">
        <x:v>PATCH heart_rate=29，再传221</x:v>
      </x:c>
      <x:c r="I14" s="156" t="str">
        <x:v>逐次提交非法更新，每次GET原记录</x:v>
      </x:c>
      <x:c r="J14" s="156" t="str">
        <x:v>两次422；记录可读且心率仍72</x:v>
      </x:c>
      <x:c r="K14" s="156" t="str">
        <x:v>两次422；心率保持72</x:v>
      </x:c>
      <x:c r="L14" s="156" t="str">
        <x:v>OK</x:v>
      </x:c>
      <x:c r="M14" s="156" t="str">
        <x:v>无效等价类、状态保持；袁立沛负责范围，AI辅助，待本人复核</x:v>
      </x:c>
      <x:c r="N14" s="43"/>
    </x:row>
    <x:row r="15" ht="86" customHeight="1">
      <x:c r="A15" s="156" t="str">
        <x:v>M2-TC-014</x:v>
      </x:c>
      <x:c r="B15" s="156" t="str">
        <x:v>血压记录</x:v>
      </x:c>
      <x:c r="C15" s="156" t="str">
        <x:v>备注长度边界及更新原子性</x:v>
      </x:c>
      <x:c r="D15" s="156" t="str">
        <x:v>中</x:v>
      </x:c>
      <x:c r="E15" s="156" t="str">
        <x:v>是</x:v>
      </x:c>
      <x:c r="F15" s="156" t="str">
        <x:v>新增</x:v>
      </x:c>
      <x:c r="G15" s="156" t="str">
        <x:v>注册用户</x:v>
      </x:c>
      <x:c r="H15" s="156" t="str">
        <x:v>创建500个N；更新500个B，再更新501个B</x:v>
      </x:c>
      <x:c r="I15" s="156" t="str">
        <x:v>POST后PATCH两次，最后GET</x:v>
      </x:c>
      <x:c r="J15" s="156" t="str">
        <x:v>创建201；500字符更新200；501字符422；最终仍为500个B</x:v>
      </x:c>
      <x:c r="K15" s="156" t="str">
        <x:v>201/200/422；保留500个B</x:v>
      </x:c>
      <x:c r="L15" s="156" t="str">
        <x:v>OK</x:v>
      </x:c>
      <x:c r="M15" s="156" t="str">
        <x:v>边界值、场景法；袁立沛负责范围，AI辅助，待本人复核</x:v>
      </x:c>
      <x:c r="N15" s="43"/>
    </x:row>
    <x:row r="16" ht="86" customHeight="1">
      <x:c r="A16" s="156" t="str">
        <x:v>M2-TC-015</x:v>
      </x:c>
      <x:c r="B16" s="156" t="str">
        <x:v>血压记录</x:v>
      </x:c>
      <x:c r="C16" s="156" t="str">
        <x:v>图片引用长度边界</x:v>
      </x:c>
      <x:c r="D16" s="156" t="str">
        <x:v>中</x:v>
      </x:c>
      <x:c r="E16" s="156" t="str">
        <x:v>是</x:v>
      </x:c>
      <x:c r="F16" s="156" t="str">
        <x:v>新增</x:v>
      </x:c>
      <x:c r="G16" s="156" t="str">
        <x:v>注册用户；不调用OCR服务</x:v>
      </x:c>
      <x:c r="H16" s="156" t="str">
        <x:v>source=ocr，image_id为64个I和65个I</x:v>
      </x:c>
      <x:c r="I16" s="156" t="str">
        <x:v>分别POST并查询列表总数</x:v>
      </x:c>
      <x:c r="J16" s="156" t="str">
        <x:v>64字符201且字段保留；65字符422；总数1</x:v>
      </x:c>
      <x:c r="K16" s="156" t="str">
        <x:v>201/422；总数1</x:v>
      </x:c>
      <x:c r="L16" s="156" t="str">
        <x:v>OK</x:v>
      </x:c>
      <x:c r="M16" s="156" t="str">
        <x:v>边界值；只测引用字段；袁立沛负责范围，AI辅助，待本人复核</x:v>
      </x:c>
      <x:c r="N16" s="43"/>
    </x:row>
    <x:row r="17" ht="86" customHeight="1">
      <x:c r="A17" s="156" t="str">
        <x:v>M2-TC-016</x:v>
      </x:c>
      <x:c r="B17" s="156" t="str">
        <x:v>血压记录</x:v>
      </x:c>
      <x:c r="C17" s="156" t="str">
        <x:v>越权修改删除不影响所有者记录</x:v>
      </x:c>
      <x:c r="D17" s="156" t="str">
        <x:v>高</x:v>
      </x:c>
      <x:c r="E17" s="156" t="str">
        <x:v>是</x:v>
      </x:c>
      <x:c r="F17" s="156" t="str">
        <x:v>新增</x:v>
      </x:c>
      <x:c r="G17" s="156" t="str">
        <x:v>分别注册所有者和另一用户</x:v>
      </x:c>
      <x:c r="H17" s="156" t="str">
        <x:v>所有者创建120/80、note=owner only；另一用户PATCH systolic=200并DELETE</x:v>
      </x:c>
      <x:c r="I17" s="156" t="str">
        <x:v>另一用户执行两次写操作；所有者GET并查总数</x:v>
      </x:c>
      <x:c r="J17" s="156" t="str">
        <x:v>越权PATCH和DELETE均404；所有者记录仍120、备注未改；总数1</x:v>
      </x:c>
      <x:c r="K17" s="156" t="str">
        <x:v>404/404；原记录与总数不变</x:v>
      </x:c>
      <x:c r="L17" s="156" t="str">
        <x:v>OK</x:v>
      </x:c>
      <x:c r="M17" s="156" t="str">
        <x:v>权限隔离、状态保持；袁立沛负责范围，AI辅助，待本人复核</x:v>
      </x:c>
      <x:c r="N17" s="43"/>
    </x:row>
    <x:row r="18" ht="86" customHeight="1">
      <x:c r="A18" s="156" t="str">
        <x:v>M2-TC-017</x:v>
      </x:c>
      <x:c r="B18" s="156" t="str">
        <x:v>血压记录</x:v>
      </x:c>
      <x:c r="C18" s="156" t="str">
        <x:v>统计隔离与空心率平均值</x:v>
      </x:c>
      <x:c r="D18" s="156" t="str">
        <x:v>高</x:v>
      </x:c>
      <x:c r="E18" s="156" t="str">
        <x:v>是</x:v>
      </x:c>
      <x:c r="F18" s="156" t="str">
        <x:v>新增</x:v>
      </x:c>
      <x:c r="G18" s="156" t="str">
        <x:v>固定服务时钟为2026-09-14T12:00:00Z；两个用户</x:v>
      </x:c>
      <x:c r="H18" s="156" t="str">
        <x:v>本人三条120/80/null、121/82/71、124/85/74；他人260/200/220</x:v>
      </x:c>
      <x:c r="I18" s="156" t="str">
        <x:v>分别建记录，查询本人stats days=7</x:v>
      </x:c>
      <x:c r="J18" s="156" t="str">
        <x:v>200；count=3；收缩压均值121.7、范围120至124；舒张压82.3、范围80至85；心率72.5</x:v>
      </x:c>
      <x:c r="K18" s="156" t="str">
        <x:v>200；3条；121.7/82.3/72.5，极值正确</x:v>
      </x:c>
      <x:c r="L18" s="156" t="str">
        <x:v>OK</x:v>
      </x:c>
      <x:c r="M18" s="156" t="str">
        <x:v>计算核对、用户隔离、空值；袁立沛负责范围，AI辅助，待本人复核</x:v>
      </x:c>
      <x:c r="N18" s="43"/>
    </x:row>
    <x:row r="19" ht="86" customHeight="1">
      <x:c r="A19" s="156" t="str">
        <x:v>M2-TC-018</x:v>
      </x:c>
      <x:c r="B19" s="156" t="str">
        <x:v>血压记录</x:v>
      </x:c>
      <x:c r="C19" s="156" t="str">
        <x:v>统计窗口下界微秒精度</x:v>
      </x:c>
      <x:c r="D19" s="156" t="str">
        <x:v>中</x:v>
      </x:c>
      <x:c r="E19" s="156" t="str">
        <x:v>是</x:v>
      </x:c>
      <x:c r="F19" s="156" t="str">
        <x:v>新增</x:v>
      </x:c>
      <x:c r="G19" s="156" t="str">
        <x:v>固定服务时钟；心率均为空</x:v>
      </x:c>
      <x:c r="H19" s="156" t="str">
        <x:v>7天下界前1微秒收缩压200，下界120，后1微秒130</x:v>
      </x:c>
      <x:c r="I19" s="156" t="str">
        <x:v>创建三条，查询stats days=7</x:v>
      </x:c>
      <x:c r="J19" s="156" t="str">
        <x:v>200；仅计2条；收缩压均值125、范围120至130；心率均值null</x:v>
      </x:c>
      <x:c r="K19" s="156" t="str">
        <x:v>200；2条；125；120至130；心率null</x:v>
      </x:c>
      <x:c r="L19" s="156" t="str">
        <x:v>OK</x:v>
      </x:c>
      <x:c r="M19" s="156" t="str">
        <x:v>时间边界、固定时钟；袁立沛负责范围，AI辅助，待本人复核</x:v>
      </x:c>
      <x:c r="N19" s="43"/>
    </x:row>
    <x:row r="20" ht="86" customHeight="1">
      <x:c r="A20" s="156" t="str">
        <x:v>M2-TC-019</x:v>
      </x:c>
      <x:c r="B20" s="156" t="str">
        <x:v>血压记录</x:v>
      </x:c>
      <x:c r="C20" s="156" t="str">
        <x:v>闭区间过滤与分页排序</x:v>
      </x:c>
      <x:c r="D20" s="156" t="str">
        <x:v>中</x:v>
      </x:c>
      <x:c r="E20" s="156" t="str">
        <x:v>是</x:v>
      </x:c>
      <x:c r="F20" s="156" t="str">
        <x:v>新增</x:v>
      </x:c>
      <x:c r="G20" s="156" t="str">
        <x:v>注册用户</x:v>
      </x:c>
      <x:c r="H20" s="156" t="str">
        <x:v>start前1微秒、start、end、end后1微秒各一条；size=1</x:v>
      </x:c>
      <x:c r="I20" s="156" t="str">
        <x:v>查询同一区间第1、2、3页</x:v>
      </x:c>
      <x:c r="J20" s="156" t="str">
        <x:v>均200且total=2；第一页end记录，第二页start记录，第三页空；分页字段正确</x:v>
      </x:c>
      <x:c r="K20" s="156" t="str">
        <x:v>200；总数2；end/start/空页</x:v>
      </x:c>
      <x:c r="L20" s="156" t="str">
        <x:v>OK</x:v>
      </x:c>
      <x:c r="M20" s="156" t="str">
        <x:v>边界值、排序分页组合；袁立沛负责范围，AI辅助，待本人复核</x:v>
      </x:c>
      <x:c r="N20" s="43"/>
    </x:row>
    <x:row r="21" ht="86" customHeight="1">
      <x:c r="A21" s="156" t="str">
        <x:v>M2-TC-020</x:v>
      </x:c>
      <x:c r="B21" s="156" t="str">
        <x:v>血压记录</x:v>
      </x:c>
      <x:c r="C21" s="156" t="str">
        <x:v>查询参数上下界</x:v>
      </x:c>
      <x:c r="D21" s="156" t="str">
        <x:v>中</x:v>
      </x:c>
      <x:c r="E21" s="156" t="str">
        <x:v>是</x:v>
      </x:c>
      <x:c r="F21" s="156" t="str">
        <x:v>新增</x:v>
      </x:c>
      <x:c r="G21" s="156" t="str">
        <x:v>注册用户，空记录库</x:v>
      </x:c>
      <x:c r="H21" s="156" t="str">
        <x:v>page=1/0；size=1/200/0/201；stats days=1/365/0/366；forecast days=1/30/0/31</x:v>
      </x:c>
      <x:c r="I21" s="156" t="str">
        <x:v>逐次GET列表、统计或预测接口</x:v>
      </x:c>
      <x:c r="J21" s="156" t="str">
        <x:v>所有有效边界200；所有外侧值422</x:v>
      </x:c>
      <x:c r="K21" s="156" t="str">
        <x:v>边界200，外侧422</x:v>
      </x:c>
      <x:c r="L21" s="156" t="str">
        <x:v>OK</x:v>
      </x:c>
      <x:c r="M21" s="156" t="str">
        <x:v>接口参数边界值；袁立沛负责范围，AI辅助，待本人复核</x:v>
      </x:c>
      <x:c r="N21" s="43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3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3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3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3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3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3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3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3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3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3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3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3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3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3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3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3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3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3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3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3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3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3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3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3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3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3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3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3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3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3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3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3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3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3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3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3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3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3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3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3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3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3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3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3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3"/>
    </x:row>
    <x:row r="67">
      <x:c r="L67" s="42"/>
    </x:row>
    <x:row r="68">
      <x:c r="L68" s="42"/>
    </x:row>
    <x:row r="69">
      <x:c r="L69" s="42"/>
    </x:row>
    <x:row r="70">
      <x:c r="L70" s="42"/>
    </x:row>
    <x:row r="71">
      <x:c r="L71" s="42"/>
    </x:row>
    <x:row r="72">
      <x:c r="L72" s="42"/>
    </x:row>
    <x:row r="73">
      <x:c r="L73" s="42"/>
    </x:row>
    <x:row r="74">
      <x:c r="L74" s="42"/>
    </x:row>
    <x:row r="75">
      <x:c r="L75" s="42"/>
    </x:row>
    <x:row r="76">
      <x:c r="L76" s="42"/>
    </x:row>
    <x:row r="77">
      <x:c r="L77" s="42"/>
    </x:row>
    <x:row r="78">
      <x:c r="L78" s="42"/>
    </x:row>
    <x:row r="79">
      <x:c r="L79" s="42"/>
    </x:row>
    <x:row r="80">
      <x:c r="L80" s="42"/>
    </x:row>
    <x:row r="81">
      <x:c r="L81" s="42"/>
    </x:row>
    <x:row r="82">
      <x:c r="L82" s="42"/>
    </x:row>
    <x:row r="83">
      <x:c r="L83" s="42"/>
    </x:row>
    <x:row r="84">
      <x:c r="L84" s="42"/>
    </x:row>
    <x:row r="85">
      <x:c r="L85" s="42"/>
    </x:row>
    <x:row r="86">
      <x:c r="L86" s="42"/>
    </x:row>
    <x:row r="87">
      <x:c r="L87" s="42"/>
    </x:row>
    <x:row r="88">
      <x:c r="L88" s="42"/>
    </x:row>
    <x:row r="89">
      <x:c r="L89" s="42"/>
    </x:row>
    <x:row r="90">
      <x:c r="L90" s="42"/>
    </x:row>
    <x:row r="91">
      <x:c r="L91" s="42"/>
    </x:row>
    <x:row r="92">
      <x:c r="L92" s="42"/>
    </x:row>
    <x:row r="93">
      <x:c r="L93" s="42"/>
    </x:row>
    <x:row r="94">
      <x:c r="L94" s="42"/>
    </x:row>
    <x:row r="95">
      <x:c r="L95" s="42"/>
    </x:row>
    <x:row r="96">
      <x:c r="L96" s="42"/>
    </x:row>
    <x:row r="97">
      <x:c r="L97" s="42"/>
    </x:row>
    <x:row r="98">
      <x:c r="L98" s="42"/>
    </x:row>
    <x:row r="99">
      <x:c r="L99" s="42"/>
    </x:row>
    <x:row r="100">
      <x:c r="L100" s="42"/>
    </x:row>
    <x:row r="101">
      <x:c r="L101" s="42"/>
    </x:row>
    <x:row r="102">
      <x:c r="L102" s="42"/>
    </x:row>
    <x:row r="103">
      <x:c r="L103" s="42"/>
    </x:row>
    <x:row r="104">
      <x:c r="L104" s="42"/>
    </x:row>
    <x:row r="105">
      <x:c r="L105" s="42"/>
    </x:row>
    <x:row r="106">
      <x:c r="L106" s="42"/>
    </x:row>
    <x:row r="107">
      <x:c r="L107" s="42"/>
    </x:row>
    <x:row r="108">
      <x:c r="L108" s="42"/>
    </x:row>
    <x:row r="109">
      <x:c r="L109" s="42"/>
    </x:row>
    <x:row r="110">
      <x:c r="L110" s="42"/>
    </x:row>
    <x:row r="111">
      <x:c r="L111" s="42"/>
    </x:row>
    <x:row r="112">
      <x:c r="L112" s="42"/>
    </x:row>
    <x:row r="113">
      <x:c r="L113" s="42"/>
    </x:row>
    <x:row r="114">
      <x:c r="L114" s="42"/>
    </x:row>
    <x:row r="115">
      <x:c r="L115" s="42"/>
    </x:row>
    <x:row r="116">
      <x:c r="L116" s="42"/>
    </x:row>
    <x:row r="117">
      <x:c r="L117" s="42"/>
    </x:row>
    <x:row r="118">
      <x:c r="L118" s="42"/>
    </x:row>
    <x:row r="119">
      <x:c r="L119" s="42"/>
    </x:row>
    <x:row r="120">
      <x:c r="L120" s="42"/>
    </x:row>
    <x:row r="121">
      <x:c r="L121" s="42"/>
    </x:row>
    <x:row r="122">
      <x:c r="L122" s="42"/>
    </x:row>
    <x:row r="123">
      <x:c r="L123" s="42"/>
    </x:row>
    <x:row r="124">
      <x:c r="L124" s="42"/>
    </x:row>
    <x:row r="125">
      <x:c r="L125" s="42"/>
    </x:row>
    <x:row r="126">
      <x:c r="L126" s="42"/>
    </x:row>
    <x:row r="127">
      <x:c r="L127" s="42"/>
    </x:row>
    <x:row r="128">
      <x:c r="L128" s="42"/>
    </x:row>
    <x:row r="129">
      <x:c r="L129" s="42"/>
    </x:row>
    <x:row r="130">
      <x:c r="L130" s="42"/>
    </x:row>
    <x:row r="131">
      <x:c r="L131" s="42"/>
    </x:row>
    <x:row r="132">
      <x:c r="L132" s="42"/>
    </x:row>
    <x:row r="133">
      <x:c r="L133" s="42"/>
    </x:row>
    <x:row r="134">
      <x:c r="L134" s="42"/>
    </x:row>
    <x:row r="135">
      <x:c r="L135" s="42"/>
    </x:row>
    <x:row r="136">
      <x:c r="L136" s="42"/>
    </x:row>
    <x:row r="137">
      <x:c r="L137" s="42"/>
    </x:row>
    <x:row r="138">
      <x:c r="L138" s="42"/>
    </x:row>
    <x:row r="139">
      <x:c r="L139" s="42"/>
    </x:row>
    <x:row r="140">
      <x:c r="L140" s="42"/>
    </x:row>
    <x:row r="141">
      <x:c r="L141" s="42"/>
    </x:row>
    <x:row r="142">
      <x:c r="L142" s="42"/>
    </x:row>
    <x:row r="143">
      <x:c r="L143" s="42"/>
    </x:row>
    <x:row r="144">
      <x:c r="L144" s="42"/>
    </x:row>
    <x:row r="145">
      <x:c r="L145" s="42"/>
    </x:row>
    <x:row r="146">
      <x:c r="L146" s="42"/>
    </x:row>
    <x:row r="147">
      <x:c r="L147" s="42"/>
    </x:row>
    <x:row r="148">
      <x:c r="L148" s="42"/>
    </x:row>
    <x:row r="149">
      <x:c r="L149" s="42"/>
    </x:row>
    <x:row r="150">
      <x:c r="L150" s="42"/>
    </x:row>
    <x:row r="151">
      <x:c r="L151" s="42"/>
    </x:row>
    <x:row r="152">
      <x:c r="L152" s="42"/>
    </x:row>
    <x:row r="153">
      <x:c r="L153" s="42"/>
    </x:row>
    <x:row r="154">
      <x:c r="L154" s="42"/>
    </x:row>
    <x:row r="155">
      <x:c r="L155" s="42"/>
    </x:row>
    <x:row r="156">
      <x:c r="L156" s="42"/>
    </x:row>
    <x:row r="157">
      <x:c r="L157" s="42"/>
    </x:row>
    <x:row r="158">
      <x:c r="L158" s="42"/>
    </x:row>
    <x:row r="159">
      <x:c r="L159" s="42"/>
    </x:row>
    <x:row r="160">
      <x:c r="L160" s="42"/>
    </x:row>
    <x:row r="161">
      <x:c r="L161" s="42"/>
    </x:row>
    <x:row r="162">
      <x:c r="L162" s="42"/>
    </x:row>
    <x:row r="163">
      <x:c r="L163" s="42"/>
    </x:row>
    <x:row r="164">
      <x:c r="L164" s="42"/>
    </x:row>
    <x:row r="165">
      <x:c r="L165" s="42"/>
    </x:row>
    <x:row r="166">
      <x:c r="L166" s="42"/>
    </x:row>
    <x:row r="167">
      <x:c r="L167" s="42"/>
    </x:row>
    <x:row r="168">
      <x:c r="L168" s="42"/>
    </x:row>
    <x:row r="169">
      <x:c r="L169" s="42"/>
    </x:row>
    <x:row r="170">
      <x:c r="L170" s="42"/>
    </x:row>
    <x:row r="171">
      <x:c r="L171" s="42"/>
    </x:row>
    <x:row r="172">
      <x:c r="L172" s="42"/>
    </x:row>
    <x:row r="173">
      <x:c r="L173" s="42"/>
    </x:row>
    <x:row r="174">
      <x:c r="L174" s="42"/>
    </x:row>
    <x:row r="175">
      <x:c r="L175" s="42"/>
    </x:row>
    <x:row r="176">
      <x:c r="L176" s="42"/>
    </x:row>
    <x:row r="177">
      <x:c r="L177" s="42"/>
    </x:row>
    <x:row r="178">
      <x:c r="L178" s="42"/>
    </x:row>
    <x:row r="179">
      <x:c r="L179" s="42"/>
    </x:row>
    <x:row r="180">
      <x:c r="L180" s="42"/>
    </x:row>
    <x:row r="181">
      <x:c r="L181" s="42"/>
    </x:row>
    <x:row r="182">
      <x:c r="L182" s="42"/>
    </x:row>
    <x:row r="183">
      <x:c r="L183" s="42"/>
    </x:row>
    <x:row r="184">
      <x:c r="L184" s="42"/>
    </x:row>
    <x:row r="185">
      <x:c r="L185" s="42"/>
    </x:row>
    <x:row r="186">
      <x:c r="L186" s="42"/>
    </x:row>
    <x:row r="187">
      <x:c r="L187" s="42"/>
    </x:row>
    <x:row r="188">
      <x:c r="L188" s="42"/>
    </x:row>
    <x:row r="189">
      <x:c r="L189" s="42"/>
    </x:row>
    <x:row r="190">
      <x:c r="L190" s="42"/>
    </x:row>
    <x:row r="191">
      <x:c r="L191" s="42"/>
    </x:row>
    <x:row r="192">
      <x:c r="L192" s="42"/>
    </x:row>
    <x:row r="193">
      <x:c r="L193" s="42"/>
    </x:row>
    <x:row r="194">
      <x:c r="L194" s="42"/>
    </x:row>
    <x:row r="195">
      <x:c r="L195" s="42"/>
    </x:row>
    <x:row r="196">
      <x:c r="L196" s="42"/>
    </x:row>
    <x:row r="197">
      <x:c r="L197" s="42"/>
    </x:row>
    <x:row r="198">
      <x:c r="L198" s="42"/>
    </x:row>
    <x:row r="199">
      <x:c r="L199" s="42"/>
    </x:row>
    <x:row r="200">
      <x:c r="L200" s="42"/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dataValidations count="4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  <x:dataValidation type="list" sqref="L12:L21">
      <x:formula1>"OK,POK,NG,NT"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4.6328125" style="1" customWidth="1"/>
    <x:col min="2" max="2" width="85" style="1" hidden="0" customWidth="1"/>
    <x:col min="3" max="16384" width="11.6328125" style="1" customWidth="0"/>
  </x:cols>
  <x:sheetData>
    <x:row r="1" ht="16.200000762939453">
      <x:c r="A1" s="45" t="s">
        <x:v>48</x:v>
      </x:c>
      <x:c r="B1" s="45"/>
      <x:c r="C1" s="2"/>
    </x:row>
    <x:row r="2" ht="55" customHeight="1">
      <x:c r="A2" s="46">
        <x:v>1</x:v>
      </x:c>
      <x:c r="B2" s="154" t="s">
        <x:v>49</x:v>
      </x:c>
      <x:c r="C2" s="2"/>
    </x:row>
    <x:row r="3" ht="55" customHeight="1">
      <x:c r="A3" s="46">
        <x:v>2</x:v>
      </x:c>
      <x:c r="B3" s="154" t="s">
        <x:v>50</x:v>
      </x:c>
      <x:c r="C3" s="2"/>
    </x:row>
    <x:row r="4" ht="55" customHeight="1">
      <x:c r="A4" s="46">
        <x:v>3</x:v>
      </x:c>
      <x:c r="B4" s="154" t="s">
        <x:v>51</x:v>
      </x:c>
      <x:c r="C4" s="2"/>
    </x:row>
    <x:row r="5" ht="55" customHeight="1">
      <x:c r="A5" s="46">
        <x:v>4</x:v>
      </x:c>
      <x:c r="B5" s="154" t="s">
        <x:v>52</x:v>
      </x:c>
      <x:c r="C5" s="2"/>
    </x:row>
    <x:row r="6" ht="55" customHeight="1">
      <x:c r="A6" s="46">
        <x:v>5</x:v>
      </x:c>
      <x:c r="B6" s="154" t="s">
        <x:v>53</x:v>
      </x:c>
      <x:c r="C6" s="2"/>
    </x:row>
    <x:row r="7" ht="55" customHeight="1">
      <x:c r="A7" s="46">
        <x:v>6</x:v>
      </x:c>
      <x:c r="B7" s="154" t="s">
        <x:v>54</x:v>
      </x:c>
      <x:c r="C7" s="2"/>
    </x:row>
    <x:row r="8" ht="55" customHeight="1">
      <x:c r="A8" s="46">
        <x:v>7</x:v>
      </x:c>
      <x:c r="B8" s="154" t="s">
        <x:v>55</x:v>
      </x:c>
      <x:c r="C8" s="2"/>
    </x:row>
    <x:row r="9" ht="55" customHeight="1">
      <x:c r="A9" s="48">
        <x:v>8</x:v>
      </x:c>
      <x:c r="B9" s="155" t="s">
        <x:v>56</x:v>
      </x:c>
      <x:c r="C9" s="2"/>
    </x:row>
    <x:row r="10" ht="100" customHeight="1">
      <x:c r="A10" s="48">
        <x:v>9</x:v>
      </x:c>
      <x:c r="B10" s="155" t="s">
        <x:v>57</x:v>
      </x:c>
    </x:row>
  </x:sheetData>
  <x:pageMargins left="0.7" right="0.7" top="0.75" bottom="0.75" header="0.3" footer="0.3"/>
</x:worksheet>
</file>